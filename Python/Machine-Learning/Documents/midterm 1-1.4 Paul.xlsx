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37ca1d763939bf/Skrivbord/Utbildning BI24/Statistisk programmering och maskininlärning/grupp dokument/"/>
    </mc:Choice>
  </mc:AlternateContent>
  <xr:revisionPtr revIDLastSave="614" documentId="8_{197B91D0-B380-4F38-9E07-67BC066CE843}" xr6:coauthVersionLast="47" xr6:coauthVersionMax="47" xr10:uidLastSave="{6E01FDB2-B9C0-49EF-B8D1-2D9CE431F05D}"/>
  <bookViews>
    <workbookView xWindow="-103" yWindow="-103" windowWidth="25440" windowHeight="15617" activeTab="1" xr2:uid="{AE42EA77-767B-4FE0-8568-6D6F01799FA6}"/>
  </bookViews>
  <sheets>
    <sheet name="Linear Regression " sheetId="1" r:id="rId1"/>
    <sheet name="1.1 Linear Regression " sheetId="2" r:id="rId2"/>
    <sheet name="1.2 Logistic Regression " sheetId="8" r:id="rId3"/>
    <sheet name="1.3 Decision Trees " sheetId="3" r:id="rId4"/>
    <sheet name="1.3" sheetId="9" r:id="rId5"/>
    <sheet name="1.4 Random Fore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E20" i="2"/>
  <c r="G19" i="2"/>
  <c r="E19" i="2"/>
  <c r="E29" i="2"/>
  <c r="G20" i="2"/>
  <c r="J21" i="3"/>
  <c r="J22" i="3"/>
  <c r="J26" i="3"/>
  <c r="J27" i="3"/>
  <c r="J28" i="3"/>
  <c r="J29" i="3"/>
  <c r="J33" i="3"/>
  <c r="J34" i="3"/>
  <c r="J35" i="3"/>
  <c r="J38" i="3"/>
  <c r="J39" i="3"/>
  <c r="J40" i="3"/>
  <c r="J20" i="3"/>
  <c r="J19" i="3"/>
  <c r="I20" i="3"/>
  <c r="I21" i="3"/>
  <c r="I22" i="3"/>
  <c r="I26" i="3"/>
  <c r="I27" i="3"/>
  <c r="I28" i="3"/>
  <c r="I29" i="3"/>
  <c r="I33" i="3"/>
  <c r="I34" i="3"/>
  <c r="I35" i="3"/>
  <c r="I38" i="3"/>
  <c r="I39" i="3"/>
  <c r="I40" i="3"/>
  <c r="I19" i="3"/>
  <c r="H38" i="3"/>
  <c r="H39" i="3"/>
  <c r="H40" i="3"/>
  <c r="H20" i="3"/>
  <c r="H21" i="3"/>
  <c r="H22" i="3"/>
  <c r="H26" i="3"/>
  <c r="H27" i="3"/>
  <c r="H28" i="3"/>
  <c r="H29" i="3"/>
  <c r="H33" i="3"/>
  <c r="H34" i="3"/>
  <c r="H35" i="3"/>
  <c r="H19" i="3"/>
  <c r="G26" i="3"/>
  <c r="G27" i="3"/>
  <c r="G28" i="3"/>
  <c r="G29" i="3"/>
  <c r="G33" i="3"/>
  <c r="G34" i="3"/>
  <c r="G35" i="3"/>
  <c r="G38" i="3"/>
  <c r="G39" i="3"/>
  <c r="G40" i="3"/>
  <c r="G20" i="3"/>
  <c r="G21" i="3"/>
  <c r="G22" i="3"/>
  <c r="G19" i="3"/>
  <c r="F20" i="3"/>
  <c r="F21" i="3"/>
  <c r="F22" i="3"/>
  <c r="F26" i="3"/>
  <c r="F27" i="3"/>
  <c r="F28" i="3"/>
  <c r="F29" i="3"/>
  <c r="F33" i="3"/>
  <c r="F34" i="3"/>
  <c r="F35" i="3"/>
  <c r="F38" i="3"/>
  <c r="F39" i="3"/>
  <c r="F40" i="3"/>
  <c r="F19" i="3"/>
  <c r="E35" i="3"/>
  <c r="E40" i="3"/>
  <c r="D40" i="3"/>
  <c r="C40" i="3"/>
  <c r="B40" i="3"/>
  <c r="B35" i="3"/>
  <c r="C35" i="3"/>
  <c r="D35" i="3"/>
  <c r="E26" i="3"/>
  <c r="E27" i="3"/>
  <c r="E28" i="3"/>
  <c r="E29" i="3"/>
  <c r="E33" i="3"/>
  <c r="E34" i="3"/>
  <c r="E38" i="3"/>
  <c r="E39" i="3"/>
  <c r="E21" i="3"/>
  <c r="E22" i="3"/>
  <c r="D29" i="3"/>
  <c r="C29" i="3"/>
  <c r="B29" i="3"/>
  <c r="E20" i="3"/>
  <c r="E19" i="3"/>
  <c r="O17" i="2"/>
  <c r="M17" i="2"/>
  <c r="I20" i="2"/>
  <c r="I19" i="2"/>
  <c r="F11" i="2"/>
  <c r="F3" i="2"/>
  <c r="F4" i="2"/>
  <c r="F5" i="2"/>
  <c r="F6" i="2"/>
  <c r="F7" i="2"/>
  <c r="F8" i="2"/>
  <c r="F9" i="2"/>
  <c r="F2" i="2"/>
  <c r="B23" i="2"/>
  <c r="B21" i="2"/>
  <c r="B15" i="2"/>
  <c r="B16" i="2"/>
  <c r="B17" i="2"/>
  <c r="B18" i="2"/>
  <c r="B19" i="2"/>
  <c r="B20" i="2"/>
  <c r="B14" i="2"/>
  <c r="D11" i="2"/>
  <c r="B11" i="2"/>
  <c r="G29" i="2" l="1"/>
  <c r="I29" i="2" s="1"/>
  <c r="F32" i="2" s="1"/>
  <c r="L18" i="2"/>
</calcChain>
</file>

<file path=xl/sharedStrings.xml><?xml version="1.0" encoding="utf-8"?>
<sst xmlns="http://schemas.openxmlformats.org/spreadsheetml/2006/main" count="353" uniqueCount="151">
  <si>
    <t xml:space="preserve">House </t>
  </si>
  <si>
    <t>Size (m²)</t>
  </si>
  <si>
    <t>Distance to City Center (km)</t>
  </si>
  <si>
    <t>Age of Building (years)</t>
  </si>
  <si>
    <t>Rent (€)</t>
  </si>
  <si>
    <t xml:space="preserve">1. Compute the slope w1 and intercept w0 using the ordinary-least-squares formulas. </t>
  </si>
  <si>
    <t>𝑅𝑒𝑛𝑡=𝑤0+𝑤1×𝑆𝑖𝑧𝑒+𝜀</t>
  </si>
  <si>
    <t>Fit a linear regression model using only the feature Size (m²) to predict Rent (€). 
Assume the model has the form</t>
  </si>
  <si>
    <t>where xi = Size, yi = Rent, n=8.</t>
  </si>
  <si>
    <t>2. Write the final equation (round coefficients to 2 decimal places).</t>
  </si>
  <si>
    <t xml:space="preserve">3. Predict the rent for a new house with Size = 50 m². </t>
  </si>
  <si>
    <t>x(size)</t>
  </si>
  <si>
    <t>Y</t>
  </si>
  <si>
    <t>Y(rent)</t>
  </si>
  <si>
    <t>y1</t>
  </si>
  <si>
    <t>y2</t>
  </si>
  <si>
    <t>y3</t>
  </si>
  <si>
    <t>y4</t>
  </si>
  <si>
    <t>y5</t>
  </si>
  <si>
    <t>y6</t>
  </si>
  <si>
    <t>y7</t>
  </si>
  <si>
    <t>y8</t>
  </si>
  <si>
    <t>x8</t>
  </si>
  <si>
    <t>x7</t>
  </si>
  <si>
    <t>x6</t>
  </si>
  <si>
    <t>x5</t>
  </si>
  <si>
    <t>x4</t>
  </si>
  <si>
    <t>x3</t>
  </si>
  <si>
    <t>x2</t>
  </si>
  <si>
    <t>x1</t>
  </si>
  <si>
    <t>yi</t>
  </si>
  <si>
    <t>xi</t>
  </si>
  <si>
    <t>Σ(xi²)</t>
  </si>
  <si>
    <t>45²</t>
  </si>
  <si>
    <t>52²</t>
  </si>
  <si>
    <t>38²</t>
  </si>
  <si>
    <t>60²</t>
  </si>
  <si>
    <t>55²</t>
  </si>
  <si>
    <t>42²</t>
  </si>
  <si>
    <t>48²</t>
  </si>
  <si>
    <t>65²</t>
  </si>
  <si>
    <t>Σ(xi²) Sum</t>
  </si>
  <si>
    <t>Σ(yi) sum:</t>
  </si>
  <si>
    <t>Σ(xi) sum:</t>
  </si>
  <si>
    <t>Σ(xi * yi)</t>
  </si>
  <si>
    <t>Σ(xi * yi) sum:</t>
  </si>
  <si>
    <t>sum:</t>
  </si>
  <si>
    <t>n=</t>
  </si>
  <si>
    <t>-</t>
  </si>
  <si>
    <t>=</t>
  </si>
  <si>
    <t>w1 =</t>
  </si>
  <si>
    <t>w0 =</t>
  </si>
  <si>
    <t>w1=</t>
  </si>
  <si>
    <t>W0=</t>
  </si>
  <si>
    <t>Rent=</t>
  </si>
  <si>
    <t>w0</t>
  </si>
  <si>
    <t>+</t>
  </si>
  <si>
    <t>w1*size</t>
  </si>
  <si>
    <t>Rent for size 50m2 = 926.22Euro</t>
  </si>
  <si>
    <t xml:space="preserve">2. Write the final equation (round coefficients to 2 decimal places). </t>
  </si>
  <si>
    <t>3. Predict the rent for a new house with Size = 50 m².</t>
  </si>
  <si>
    <t>Round</t>
  </si>
  <si>
    <t>Temperature</t>
  </si>
  <si>
    <t>N</t>
  </si>
  <si>
    <t>Total</t>
  </si>
  <si>
    <t>hot</t>
  </si>
  <si>
    <t>mild</t>
  </si>
  <si>
    <t>cool</t>
  </si>
  <si>
    <t>Weather</t>
  </si>
  <si>
    <t>Outlook</t>
  </si>
  <si>
    <t>Humidity</t>
  </si>
  <si>
    <t>Windy</t>
  </si>
  <si>
    <t>Play Golf?</t>
  </si>
  <si>
    <t>sunny</t>
  </si>
  <si>
    <t>high</t>
  </si>
  <si>
    <t>FALSE</t>
  </si>
  <si>
    <t>TRUE</t>
  </si>
  <si>
    <t>overcast</t>
  </si>
  <si>
    <t>rain</t>
  </si>
  <si>
    <t>normal</t>
  </si>
  <si>
    <t>%Yes</t>
  </si>
  <si>
    <t>total</t>
  </si>
  <si>
    <t>Entropi</t>
  </si>
  <si>
    <t>p(Y)</t>
  </si>
  <si>
    <t>p(N)</t>
  </si>
  <si>
    <t>Viktad</t>
  </si>
  <si>
    <t>Vikt</t>
  </si>
  <si>
    <t>outlook</t>
  </si>
  <si>
    <t>100% Yes</t>
  </si>
  <si>
    <t>60%Yes</t>
  </si>
  <si>
    <t>40% no</t>
  </si>
  <si>
    <t>rain/sunny</t>
  </si>
  <si>
    <t>50% yes/no</t>
  </si>
  <si>
    <t>60% no</t>
  </si>
  <si>
    <t>40%Yes</t>
  </si>
  <si>
    <t>/</t>
  </si>
  <si>
    <t>\</t>
  </si>
  <si>
    <t>windy?</t>
  </si>
  <si>
    <t>Yes</t>
  </si>
  <si>
    <t>No</t>
  </si>
  <si>
    <t>100% no</t>
  </si>
  <si>
    <t>Humidity?</t>
  </si>
  <si>
    <t>Normal</t>
  </si>
  <si>
    <t>High</t>
  </si>
  <si>
    <t>100%Yes</t>
  </si>
  <si>
    <t>No.</t>
  </si>
  <si>
    <t>Bill (€)</t>
  </si>
  <si>
    <t>Data (GB)</t>
  </si>
  <si>
    <t>Calls</t>
  </si>
  <si>
    <t>Churn?</t>
  </si>
  <si>
    <t>Tree 1:</t>
  </si>
  <si>
    <t xml:space="preserve"> [Bill ≤ 60?]</t>
  </si>
  <si>
    <t xml:space="preserve">  (5Y)</t>
  </si>
  <si>
    <t xml:space="preserve"> /     \</t>
  </si>
  <si>
    <t xml:space="preserve"> ≤3      &gt;3</t>
  </si>
  <si>
    <t>(2Y)    (3Y)</t>
  </si>
  <si>
    <t xml:space="preserve">(4N)    (1N)  </t>
  </si>
  <si>
    <t xml:space="preserve">≤2      &gt;2   </t>
  </si>
  <si>
    <t xml:space="preserve"> /     \       </t>
  </si>
  <si>
    <t xml:space="preserve">(5N)  </t>
  </si>
  <si>
    <t>Calls?</t>
  </si>
  <si>
    <t>Tree 2:</t>
  </si>
  <si>
    <t xml:space="preserve">/ </t>
  </si>
  <si>
    <t>Calls ≤ 2?</t>
  </si>
  <si>
    <t xml:space="preserve"> No</t>
  </si>
  <si>
    <t xml:space="preserve">Yes          </t>
  </si>
  <si>
    <t>/        \</t>
  </si>
  <si>
    <t xml:space="preserve">  Yes         No</t>
  </si>
  <si>
    <t>(5Y)</t>
  </si>
  <si>
    <t xml:space="preserve">(5N)       </t>
  </si>
  <si>
    <t xml:space="preserve"> Bill ≤ 80?</t>
  </si>
  <si>
    <r>
      <rPr>
        <sz val="11"/>
        <color theme="5" tint="-0.499984740745262"/>
        <rFont val="Aptos Narrow"/>
        <family val="2"/>
        <scheme val="minor"/>
      </rPr>
      <t xml:space="preserve">  (2Y)</t>
    </r>
    <r>
      <rPr>
        <sz val="11"/>
        <color theme="1"/>
        <rFont val="Aptos Narrow"/>
        <family val="2"/>
        <scheme val="minor"/>
      </rPr>
      <t xml:space="preserve">        </t>
    </r>
    <r>
      <rPr>
        <sz val="11"/>
        <color theme="9" tint="-0.249977111117893"/>
        <rFont val="Aptos Narrow"/>
        <family val="2"/>
        <scheme val="minor"/>
      </rPr>
      <t>(3Y)</t>
    </r>
  </si>
  <si>
    <t xml:space="preserve"> /              \</t>
  </si>
  <si>
    <t xml:space="preserve">(4N) </t>
  </si>
  <si>
    <t>/         \</t>
  </si>
  <si>
    <t xml:space="preserve">    </t>
  </si>
  <si>
    <t xml:space="preserve"> Bill ≤ 70?</t>
  </si>
  <si>
    <t xml:space="preserve">yes </t>
  </si>
  <si>
    <t>(1N)</t>
  </si>
  <si>
    <t xml:space="preserve"> Data ≤ 8 GB?</t>
  </si>
  <si>
    <t>Tree 3:</t>
  </si>
  <si>
    <t>Outlook -&gt; humiditiy/windy</t>
  </si>
  <si>
    <t>(4/4)</t>
  </si>
  <si>
    <t>(5n/5Y)</t>
  </si>
  <si>
    <t>(2/3)</t>
  </si>
  <si>
    <t>(3/2)</t>
  </si>
  <si>
    <t>False(3)</t>
  </si>
  <si>
    <t>True(2)</t>
  </si>
  <si>
    <t xml:space="preserve">1. Compute the slope w1 and intercept w0 </t>
  </si>
  <si>
    <t xml:space="preserve">using the ordinary-least-squares formulas. </t>
  </si>
  <si>
    <t>X(size)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</si>
</sst>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0"/>
      <color theme="1"/>
      <name val="Arial Unicode MS"/>
    </font>
    <font>
      <sz val="11"/>
      <color theme="5" tint="-0.499984740745262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6" xfId="0" applyBorder="1"/>
    <xf numFmtId="0" fontId="0" fillId="0" borderId="17" xfId="0" applyBorder="1"/>
    <xf numFmtId="9" fontId="0" fillId="0" borderId="0" xfId="0" applyNumberFormat="1" applyAlignment="1">
      <alignment vertical="center" wrapText="1"/>
    </xf>
    <xf numFmtId="0" fontId="0" fillId="0" borderId="2" xfId="0" applyBorder="1"/>
    <xf numFmtId="0" fontId="3" fillId="0" borderId="0" xfId="0" applyFont="1" applyAlignment="1">
      <alignment vertical="center" wrapText="1"/>
    </xf>
    <xf numFmtId="0" fontId="0" fillId="0" borderId="20" xfId="0" applyBorder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20" xfId="0" applyFont="1" applyBorder="1"/>
    <xf numFmtId="0" fontId="0" fillId="0" borderId="21" xfId="0" applyBorder="1"/>
    <xf numFmtId="0" fontId="4" fillId="0" borderId="18" xfId="0" applyFont="1" applyBorder="1"/>
    <xf numFmtId="0" fontId="5" fillId="0" borderId="19" xfId="0" applyFont="1" applyBorder="1"/>
    <xf numFmtId="0" fontId="4" fillId="0" borderId="2" xfId="0" applyFont="1" applyBorder="1"/>
    <xf numFmtId="0" fontId="2" fillId="0" borderId="2" xfId="0" applyFont="1" applyBorder="1"/>
    <xf numFmtId="0" fontId="6" fillId="0" borderId="2" xfId="0" applyFont="1" applyBorder="1"/>
    <xf numFmtId="0" fontId="5" fillId="0" borderId="0" xfId="0" applyFont="1" applyAlignment="1">
      <alignment vertical="center" wrapText="1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Linier Regression</a:t>
            </a:r>
          </a:p>
        </c:rich>
      </c:tx>
      <c:layout>
        <c:manualLayout>
          <c:xMode val="edge"/>
          <c:yMode val="edge"/>
          <c:x val="0.37854155730533684"/>
          <c:y val="2.2204595826818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'1.1 Linear Regression '!$D$1</c:f>
              <c:strCache>
                <c:ptCount val="1"/>
                <c:pt idx="0">
                  <c:v>yi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'1.1 Linear Regression '!$B$2:$B$9</c:f>
              <c:numCache>
                <c:formatCode>General</c:formatCode>
                <c:ptCount val="8"/>
                <c:pt idx="0">
                  <c:v>45</c:v>
                </c:pt>
                <c:pt idx="1">
                  <c:v>52</c:v>
                </c:pt>
                <c:pt idx="2">
                  <c:v>38</c:v>
                </c:pt>
                <c:pt idx="3">
                  <c:v>60</c:v>
                </c:pt>
                <c:pt idx="4">
                  <c:v>55</c:v>
                </c:pt>
                <c:pt idx="5">
                  <c:v>42</c:v>
                </c:pt>
                <c:pt idx="6">
                  <c:v>48</c:v>
                </c:pt>
                <c:pt idx="7">
                  <c:v>65</c:v>
                </c:pt>
              </c:numCache>
            </c:numRef>
          </c:xVal>
          <c:yVal>
            <c:numRef>
              <c:f>'1.1 Linear Regression '!$D$2:$D$9</c:f>
              <c:numCache>
                <c:formatCode>General</c:formatCode>
                <c:ptCount val="8"/>
                <c:pt idx="0">
                  <c:v>820</c:v>
                </c:pt>
                <c:pt idx="1">
                  <c:v>950</c:v>
                </c:pt>
                <c:pt idx="2">
                  <c:v>710</c:v>
                </c:pt>
                <c:pt idx="3">
                  <c:v>1120</c:v>
                </c:pt>
                <c:pt idx="4">
                  <c:v>1030</c:v>
                </c:pt>
                <c:pt idx="5">
                  <c:v>750</c:v>
                </c:pt>
                <c:pt idx="6">
                  <c:v>880</c:v>
                </c:pt>
                <c:pt idx="7">
                  <c:v>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8-4336-9C4B-FF42FDA0D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998208"/>
        <c:axId val="1247998688"/>
      </c:scatterChart>
      <c:valAx>
        <c:axId val="124799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47998688"/>
        <c:crosses val="autoZero"/>
        <c:crossBetween val="midCat"/>
      </c:valAx>
      <c:valAx>
        <c:axId val="124799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4799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>
          <a:ln>
            <a:noFill/>
          </a:ln>
          <a:solidFill>
            <a:schemeClr val="tx2"/>
          </a:solidFill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221502</xdr:colOff>
      <xdr:row>11</xdr:row>
      <xdr:rowOff>161155</xdr:rowOff>
    </xdr:from>
    <xdr:to>
      <xdr:col>8</xdr:col>
      <xdr:colOff>259128</xdr:colOff>
      <xdr:row>16</xdr:row>
      <xdr:rowOff>36129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AFB19B15-AC0D-B83A-F413-560ADE2B0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893" y="2196311"/>
          <a:ext cx="3123490" cy="802626"/>
        </a:xfrm>
        <a:prstGeom prst="rect">
          <a:avLst/>
        </a:prstGeom>
      </xdr:spPr>
    </xdr:pic>
    <xdr:clientData/>
  </xdr:twoCellAnchor>
  <xdr:twoCellAnchor editAs="oneCell">
    <xdr:from>
      <xdr:col>4</xdr:col>
      <xdr:colOff>304328</xdr:colOff>
      <xdr:row>23</xdr:row>
      <xdr:rowOff>13863</xdr:rowOff>
    </xdr:from>
    <xdr:to>
      <xdr:col>8</xdr:col>
      <xdr:colOff>341954</xdr:colOff>
      <xdr:row>27</xdr:row>
      <xdr:rowOff>108344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D368AF26-A1D9-88E5-BF2B-19FC9BEA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1719" y="4268758"/>
          <a:ext cx="3123490" cy="832816"/>
        </a:xfrm>
        <a:prstGeom prst="rect">
          <a:avLst/>
        </a:prstGeom>
      </xdr:spPr>
    </xdr:pic>
    <xdr:clientData/>
  </xdr:twoCellAnchor>
  <xdr:twoCellAnchor>
    <xdr:from>
      <xdr:col>11</xdr:col>
      <xdr:colOff>580137</xdr:colOff>
      <xdr:row>23</xdr:row>
      <xdr:rowOff>38455</xdr:rowOff>
    </xdr:from>
    <xdr:to>
      <xdr:col>18</xdr:col>
      <xdr:colOff>580137</xdr:colOff>
      <xdr:row>41</xdr:row>
      <xdr:rowOff>138676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EB284BE2-6FAD-FD72-CC2D-029E77DA0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642258</xdr:colOff>
      <xdr:row>2</xdr:row>
      <xdr:rowOff>146958</xdr:rowOff>
    </xdr:from>
    <xdr:to>
      <xdr:col>13</xdr:col>
      <xdr:colOff>576944</xdr:colOff>
      <xdr:row>23</xdr:row>
      <xdr:rowOff>154282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2F042049-25EF-6D83-7E28-5DAA9418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1" y="517072"/>
          <a:ext cx="7772400" cy="3893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424260</xdr:colOff>
      <xdr:row>24</xdr:row>
      <xdr:rowOff>16123</xdr:rowOff>
    </xdr:from>
    <xdr:to>
      <xdr:col>14</xdr:col>
      <xdr:colOff>424620</xdr:colOff>
      <xdr:row>24</xdr:row>
      <xdr:rowOff>16123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Pennanteckning 2">
              <a:extLst>
                <a:ext uri="{FF2B5EF4-FFF2-40B4-BE49-F238E27FC236}">
                  <a16:creationId xmlns:a16="http://schemas.microsoft.com/office/drawing/2014/main" id="{2CA28CC4-B5DE-08DA-6271-0834112F364C}"/>
                </a:ext>
              </a:extLst>
            </xdr14:cNvPr>
            <xdr14:cNvContentPartPr/>
          </xdr14:nvContentPartPr>
          <xdr14:nvPr macro=""/>
          <xdr14:xfrm>
            <a:off x="10596960" y="1502023"/>
            <a:ext cx="360" cy="360"/>
          </xdr14:xfrm>
        </xdr:contentPart>
      </mc:Choice>
      <mc:Fallback xmlns="">
        <xdr:pic>
          <xdr:nvPicPr>
            <xdr:cNvPr id="3" name="Pennanteckning 2">
              <a:extLst>
                <a:ext uri="{FF2B5EF4-FFF2-40B4-BE49-F238E27FC236}">
                  <a16:creationId xmlns:a16="http://schemas.microsoft.com/office/drawing/2014/main" id="{2CA28CC4-B5DE-08DA-6271-0834112F36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90840" y="1495903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2T10:26:28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22FDC-1A1A-4B45-B785-55BE3DE0219F}" name="Tabell1" displayName="Tabell1" ref="A1:E9" totalsRowShown="0">
  <autoFilter ref="A1:E9" xr:uid="{DEE22FDC-1A1A-4B45-B785-55BE3DE0219F}"/>
  <tableColumns count="5">
    <tableColumn id="1" xr3:uid="{A88D29EF-3A11-4C32-808D-1A4B09532910}" name="House "/>
    <tableColumn id="2" xr3:uid="{0B6DB256-E719-43C5-AE8B-7D8F2ECEDF0B}" name="Size (m²)"/>
    <tableColumn id="3" xr3:uid="{A271CC5B-9263-41F5-9AEA-3AF35D66AC3A}" name="Distance to City Center (km)"/>
    <tableColumn id="4" xr3:uid="{E7FB2EAC-2B53-4966-B72E-6728E5476BBC}" name="Age of Building (years)"/>
    <tableColumn id="5" xr3:uid="{C19EE58F-8D04-4094-92E4-E9822EF54A15}" name="Rent (€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2B6F63-E2A6-4816-B31A-F5D2A22781FF}" name="Tabell6" displayName="Tabell6" ref="A1:D9" totalsRowShown="0">
  <autoFilter ref="A1:D9" xr:uid="{152B6F63-E2A6-4816-B31A-F5D2A22781FF}"/>
  <tableColumns count="4">
    <tableColumn id="1" xr3:uid="{2955048F-D99A-401D-901E-243DA53F9C7D}" name="x(size)" dataDxfId="13"/>
    <tableColumn id="2" xr3:uid="{1894E80C-4A47-470D-8A77-7EFB287EE211}" name="xi"/>
    <tableColumn id="3" xr3:uid="{9A7DAF99-600E-46D3-9DDA-808433572AD3}" name="Y(rent)" dataDxfId="12"/>
    <tableColumn id="4" xr3:uid="{DC636530-EA77-4363-9B92-07BCC3D020EB}" name="yi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CB8422-1257-4E43-BDFD-52D2F35EF12B}" name="Tabell7" displayName="Tabell7" ref="A1:F15" totalsRowShown="0" headerRowBorderDxfId="11" tableBorderDxfId="10">
  <autoFilter ref="A1:F15" xr:uid="{D0CB8422-1257-4E43-BDFD-52D2F35EF12B}"/>
  <tableColumns count="6">
    <tableColumn id="1" xr3:uid="{22A9E175-E516-4DB0-8708-AE3A23A1BFE0}" name="Weather"/>
    <tableColumn id="2" xr3:uid="{0DF88403-064A-430C-8D86-2D23F627724C}" name="Outlook"/>
    <tableColumn id="3" xr3:uid="{968F9754-87E4-4527-8C9B-36FBE1C2C860}" name="Temperature"/>
    <tableColumn id="4" xr3:uid="{F43E1548-DD30-45FE-81BF-8E5A26C2B982}" name="Humidity"/>
    <tableColumn id="5" xr3:uid="{CFA0378A-031A-4FF5-ADCD-CE6F2C4F4275}" name="Windy"/>
    <tableColumn id="6" xr3:uid="{03745F43-888C-41BB-8E6E-1976C4F1A354}" name="Play Golf?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A392B-25D0-4086-B57A-C12866430707}" name="Tabell73" displayName="Tabell73" ref="A1:F15" totalsRowShown="0" headerRowBorderDxfId="9" tableBorderDxfId="8">
  <autoFilter ref="A1:F15" xr:uid="{BA5A392B-25D0-4086-B57A-C12866430707}"/>
  <tableColumns count="6">
    <tableColumn id="1" xr3:uid="{575F0198-1423-400F-B5B7-D1E572B54672}" name="Weather"/>
    <tableColumn id="2" xr3:uid="{9DAAAE73-E6A3-487A-B4DF-4C7E52E72073}" name="Outlook"/>
    <tableColumn id="3" xr3:uid="{DB0334F3-A629-422D-A3F6-294E3ED60F72}" name="Temperature"/>
    <tableColumn id="4" xr3:uid="{0CBDC04A-2141-4E52-B6F6-F36BEDE28E53}" name="Humidity"/>
    <tableColumn id="5" xr3:uid="{0841FAE6-A094-4A3D-91EC-C23F5D112734}" name="Windy"/>
    <tableColumn id="6" xr3:uid="{F77D8BA7-ADFA-423C-803E-E0945E93AF56}" name="Play Golf?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3BA19C-6FB9-4B81-AA06-AC872366373A}" name="Tabell8" displayName="Tabell8" ref="A1:E11" totalsRowShown="0" headerRowDxfId="7" dataDxfId="6" tableBorderDxfId="5">
  <autoFilter ref="A1:E11" xr:uid="{1D3BA19C-6FB9-4B81-AA06-AC872366373A}"/>
  <tableColumns count="5">
    <tableColumn id="1" xr3:uid="{60AA4B3B-8960-45A5-BC11-561492318BB9}" name="No." dataDxfId="4"/>
    <tableColumn id="2" xr3:uid="{3A562EE1-625B-4DB8-A156-FBB098B20509}" name="Bill (€)" dataDxfId="3"/>
    <tableColumn id="3" xr3:uid="{FBBC8423-C829-4F2C-890C-29E7587E5CEC}" name="Data (GB)" dataDxfId="2"/>
    <tableColumn id="4" xr3:uid="{844B0726-EEE3-4675-8264-3D62E2BC5EB0}" name="Calls" dataDxfId="1"/>
    <tableColumn id="5" xr3:uid="{326F01C5-DFC7-4DF8-8172-44D4B26F0A57}" name="Churn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1E7D-783F-4D93-BF7B-A5CF127657CD}">
  <dimension ref="A1:E16"/>
  <sheetViews>
    <sheetView zoomScale="119" zoomScaleNormal="115" workbookViewId="0">
      <selection activeCell="B1" sqref="B1"/>
    </sheetView>
  </sheetViews>
  <sheetFormatPr defaultRowHeight="14.6"/>
  <cols>
    <col min="2" max="2" width="10.07421875" customWidth="1"/>
    <col min="3" max="3" width="32.61328125" customWidth="1"/>
    <col min="4" max="4" width="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45</v>
      </c>
      <c r="C2">
        <v>2.5</v>
      </c>
      <c r="D2">
        <v>12</v>
      </c>
      <c r="E2">
        <v>820</v>
      </c>
    </row>
    <row r="3" spans="1:5">
      <c r="A3">
        <v>2</v>
      </c>
      <c r="B3">
        <v>52</v>
      </c>
      <c r="C3">
        <v>1.8</v>
      </c>
      <c r="D3">
        <v>8</v>
      </c>
      <c r="E3">
        <v>950</v>
      </c>
    </row>
    <row r="4" spans="1:5">
      <c r="A4">
        <v>3</v>
      </c>
      <c r="B4">
        <v>38</v>
      </c>
      <c r="C4">
        <v>3.2</v>
      </c>
      <c r="D4">
        <v>20</v>
      </c>
      <c r="E4">
        <v>710</v>
      </c>
    </row>
    <row r="5" spans="1:5">
      <c r="A5">
        <v>4</v>
      </c>
      <c r="B5">
        <v>60</v>
      </c>
      <c r="C5">
        <v>1.2</v>
      </c>
      <c r="D5">
        <v>5</v>
      </c>
      <c r="E5">
        <v>1120</v>
      </c>
    </row>
    <row r="6" spans="1:5">
      <c r="A6">
        <v>5</v>
      </c>
      <c r="B6">
        <v>55</v>
      </c>
      <c r="C6">
        <v>2</v>
      </c>
      <c r="D6">
        <v>10</v>
      </c>
      <c r="E6">
        <v>1030</v>
      </c>
    </row>
    <row r="7" spans="1:5">
      <c r="A7">
        <v>6</v>
      </c>
      <c r="B7">
        <v>42</v>
      </c>
      <c r="C7">
        <v>4</v>
      </c>
      <c r="D7">
        <v>15</v>
      </c>
      <c r="E7">
        <v>750</v>
      </c>
    </row>
    <row r="8" spans="1:5">
      <c r="A8">
        <v>7</v>
      </c>
      <c r="B8">
        <v>48</v>
      </c>
      <c r="C8">
        <v>2.8</v>
      </c>
      <c r="D8">
        <v>9</v>
      </c>
      <c r="E8">
        <v>880</v>
      </c>
    </row>
    <row r="9" spans="1:5">
      <c r="A9">
        <v>8</v>
      </c>
      <c r="B9">
        <v>65</v>
      </c>
      <c r="C9">
        <v>0.9</v>
      </c>
      <c r="D9">
        <v>3</v>
      </c>
      <c r="E9">
        <v>1250</v>
      </c>
    </row>
    <row r="11" spans="1:5" ht="58.3">
      <c r="A11" s="1"/>
      <c r="C11" s="1" t="s">
        <v>7</v>
      </c>
      <c r="D11" t="s">
        <v>6</v>
      </c>
    </row>
    <row r="13" spans="1:5">
      <c r="A13" t="s">
        <v>5</v>
      </c>
    </row>
    <row r="14" spans="1:5">
      <c r="A14" t="s">
        <v>8</v>
      </c>
    </row>
    <row r="15" spans="1:5">
      <c r="A15" t="s">
        <v>9</v>
      </c>
    </row>
    <row r="16" spans="1:5">
      <c r="A16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3EAD-6762-4FF1-A12E-3461E3DF752F}">
  <dimension ref="A1:Q45"/>
  <sheetViews>
    <sheetView tabSelected="1" zoomScale="115" zoomScaleNormal="115" workbookViewId="0">
      <selection activeCell="F23" sqref="F23"/>
    </sheetView>
  </sheetViews>
  <sheetFormatPr defaultRowHeight="14.6"/>
  <cols>
    <col min="1" max="1" width="10.15234375" customWidth="1"/>
    <col min="2" max="2" width="9.23046875" customWidth="1"/>
    <col min="3" max="3" width="13.23046875" customWidth="1"/>
    <col min="4" max="4" width="11.84375" customWidth="1"/>
    <col min="5" max="5" width="14.3828125" customWidth="1"/>
    <col min="6" max="6" width="10.765625" bestFit="1" customWidth="1"/>
    <col min="15" max="15" width="9.23046875" customWidth="1"/>
  </cols>
  <sheetData>
    <row r="1" spans="1:17">
      <c r="A1" t="s">
        <v>11</v>
      </c>
      <c r="B1" t="s">
        <v>31</v>
      </c>
      <c r="C1" s="5" t="s">
        <v>13</v>
      </c>
      <c r="D1" t="s">
        <v>30</v>
      </c>
      <c r="F1" t="s">
        <v>44</v>
      </c>
    </row>
    <row r="2" spans="1:17">
      <c r="A2" s="9" t="s">
        <v>29</v>
      </c>
      <c r="B2" s="7">
        <v>45</v>
      </c>
      <c r="C2" s="9" t="s">
        <v>14</v>
      </c>
      <c r="D2" s="7">
        <v>820</v>
      </c>
      <c r="E2" s="7"/>
      <c r="F2" s="7">
        <f>Tabell6[[#This Row],[xi]]*Tabell6[[#This Row],[yi]]</f>
        <v>36900</v>
      </c>
    </row>
    <row r="3" spans="1:17">
      <c r="A3" s="4" t="s">
        <v>28</v>
      </c>
      <c r="B3">
        <v>52</v>
      </c>
      <c r="C3" s="4" t="s">
        <v>15</v>
      </c>
      <c r="D3">
        <v>950</v>
      </c>
      <c r="F3">
        <f>Tabell6[[#This Row],[xi]]*Tabell6[[#This Row],[yi]]</f>
        <v>49400</v>
      </c>
    </row>
    <row r="4" spans="1:17">
      <c r="A4" s="4" t="s">
        <v>27</v>
      </c>
      <c r="B4">
        <v>38</v>
      </c>
      <c r="C4" s="4" t="s">
        <v>16</v>
      </c>
      <c r="D4">
        <v>710</v>
      </c>
      <c r="F4">
        <f>Tabell6[[#This Row],[xi]]*Tabell6[[#This Row],[yi]]</f>
        <v>26980</v>
      </c>
    </row>
    <row r="5" spans="1:17">
      <c r="A5" s="4" t="s">
        <v>26</v>
      </c>
      <c r="B5">
        <v>60</v>
      </c>
      <c r="C5" s="4" t="s">
        <v>17</v>
      </c>
      <c r="D5">
        <v>1120</v>
      </c>
      <c r="F5">
        <f>Tabell6[[#This Row],[xi]]*Tabell6[[#This Row],[yi]]</f>
        <v>67200</v>
      </c>
    </row>
    <row r="6" spans="1:17">
      <c r="A6" s="4" t="s">
        <v>25</v>
      </c>
      <c r="B6">
        <v>55</v>
      </c>
      <c r="C6" s="4" t="s">
        <v>18</v>
      </c>
      <c r="D6">
        <v>1030</v>
      </c>
      <c r="F6">
        <f>Tabell6[[#This Row],[xi]]*Tabell6[[#This Row],[yi]]</f>
        <v>56650</v>
      </c>
    </row>
    <row r="7" spans="1:17">
      <c r="A7" s="4" t="s">
        <v>24</v>
      </c>
      <c r="B7">
        <v>42</v>
      </c>
      <c r="C7" s="4" t="s">
        <v>19</v>
      </c>
      <c r="D7">
        <v>750</v>
      </c>
      <c r="F7">
        <f>Tabell6[[#This Row],[xi]]*Tabell6[[#This Row],[yi]]</f>
        <v>31500</v>
      </c>
    </row>
    <row r="8" spans="1:17">
      <c r="A8" s="4" t="s">
        <v>23</v>
      </c>
      <c r="B8">
        <v>48</v>
      </c>
      <c r="C8" s="4" t="s">
        <v>20</v>
      </c>
      <c r="D8">
        <v>880</v>
      </c>
      <c r="F8">
        <f>Tabell6[[#This Row],[xi]]*Tabell6[[#This Row],[yi]]</f>
        <v>42240</v>
      </c>
      <c r="L8" s="3" t="s">
        <v>59</v>
      </c>
      <c r="M8" s="3"/>
      <c r="N8" s="3"/>
      <c r="O8" s="3"/>
      <c r="P8" s="3"/>
      <c r="Q8" s="3"/>
    </row>
    <row r="9" spans="1:17" ht="15" thickBot="1">
      <c r="A9" s="4" t="s">
        <v>22</v>
      </c>
      <c r="B9">
        <v>65</v>
      </c>
      <c r="C9" s="4" t="s">
        <v>21</v>
      </c>
      <c r="D9">
        <v>1250</v>
      </c>
      <c r="F9">
        <f>Tabell6[[#This Row],[xi]]*Tabell6[[#This Row],[yi]]</f>
        <v>81250</v>
      </c>
    </row>
    <row r="10" spans="1:17">
      <c r="A10" s="4"/>
      <c r="C10" s="4"/>
      <c r="L10" s="10" t="s">
        <v>61</v>
      </c>
      <c r="M10" s="11"/>
    </row>
    <row r="11" spans="1:17">
      <c r="A11" s="4" t="s">
        <v>43</v>
      </c>
      <c r="B11" s="3">
        <f>B2+B3+B4+B5+B6+B7+B8+B9</f>
        <v>405</v>
      </c>
      <c r="C11" s="4" t="s">
        <v>42</v>
      </c>
      <c r="D11" s="3">
        <f>D2+D3+D4+D5+D6+D7+D8+D9</f>
        <v>7510</v>
      </c>
      <c r="E11" s="4" t="s">
        <v>45</v>
      </c>
      <c r="F11" s="3">
        <f>F2+F3+F4+F5+F6+F7+F8+F9</f>
        <v>392120</v>
      </c>
      <c r="G11" s="4" t="s">
        <v>47</v>
      </c>
      <c r="H11" s="3">
        <v>8</v>
      </c>
      <c r="L11" s="12" t="s">
        <v>52</v>
      </c>
      <c r="M11" s="13">
        <v>20.29</v>
      </c>
      <c r="N11" s="3"/>
      <c r="O11" s="3"/>
      <c r="P11" s="3"/>
      <c r="Q11" s="3"/>
    </row>
    <row r="12" spans="1:17" ht="15" thickBot="1">
      <c r="L12" s="14" t="s">
        <v>53</v>
      </c>
      <c r="M12" s="15">
        <v>-88.28</v>
      </c>
    </row>
    <row r="13" spans="1:17">
      <c r="A13" t="s">
        <v>32</v>
      </c>
      <c r="B13" t="s">
        <v>46</v>
      </c>
    </row>
    <row r="14" spans="1:17">
      <c r="A14" t="s">
        <v>33</v>
      </c>
      <c r="B14">
        <f>B2^2</f>
        <v>2025</v>
      </c>
      <c r="L14" s="3" t="s">
        <v>60</v>
      </c>
      <c r="M14" s="3"/>
      <c r="N14" s="3"/>
      <c r="O14" s="3"/>
      <c r="P14" s="3"/>
    </row>
    <row r="15" spans="1:17">
      <c r="A15" t="s">
        <v>34</v>
      </c>
      <c r="B15">
        <f t="shared" ref="B15:B21" si="0">B3^2</f>
        <v>2704</v>
      </c>
    </row>
    <row r="16" spans="1:17">
      <c r="A16" t="s">
        <v>35</v>
      </c>
      <c r="B16">
        <f t="shared" si="0"/>
        <v>1444</v>
      </c>
      <c r="L16" s="16" t="s">
        <v>54</v>
      </c>
      <c r="M16" s="7" t="s">
        <v>55</v>
      </c>
      <c r="N16" s="7" t="s">
        <v>56</v>
      </c>
      <c r="O16" s="17" t="s">
        <v>57</v>
      </c>
    </row>
    <row r="17" spans="1:16">
      <c r="A17" t="s">
        <v>36</v>
      </c>
      <c r="B17">
        <f t="shared" si="0"/>
        <v>3600</v>
      </c>
      <c r="L17" s="18" t="s">
        <v>54</v>
      </c>
      <c r="M17">
        <f>M12</f>
        <v>-88.28</v>
      </c>
      <c r="N17" t="s">
        <v>56</v>
      </c>
      <c r="O17" s="19">
        <f>M11*50</f>
        <v>1014.5</v>
      </c>
    </row>
    <row r="18" spans="1:16">
      <c r="A18" t="s">
        <v>37</v>
      </c>
      <c r="B18">
        <f t="shared" si="0"/>
        <v>3025</v>
      </c>
      <c r="L18" s="20">
        <f>M17+O17</f>
        <v>926.22</v>
      </c>
      <c r="M18" s="21"/>
      <c r="N18" s="21"/>
      <c r="O18" s="22"/>
    </row>
    <row r="19" spans="1:16">
      <c r="A19" t="s">
        <v>38</v>
      </c>
      <c r="B19">
        <f t="shared" si="0"/>
        <v>1764</v>
      </c>
      <c r="E19">
        <f>H11*F11</f>
        <v>3136960</v>
      </c>
      <c r="F19" s="6" t="s">
        <v>48</v>
      </c>
      <c r="G19">
        <f>B11*D11</f>
        <v>3041550</v>
      </c>
      <c r="H19" s="4" t="s">
        <v>49</v>
      </c>
      <c r="I19">
        <f>E19-G19</f>
        <v>95410</v>
      </c>
    </row>
    <row r="20" spans="1:16">
      <c r="A20" t="s">
        <v>39</v>
      </c>
      <c r="B20">
        <f t="shared" si="0"/>
        <v>2304</v>
      </c>
      <c r="E20" s="7">
        <f>H11*B23</f>
        <v>168728</v>
      </c>
      <c r="F20" s="8" t="s">
        <v>48</v>
      </c>
      <c r="G20" s="7">
        <f>B11^2</f>
        <v>164025</v>
      </c>
      <c r="H20" s="9" t="s">
        <v>49</v>
      </c>
      <c r="I20" s="7">
        <f>E20-G20</f>
        <v>4703</v>
      </c>
      <c r="L20" s="3" t="s">
        <v>58</v>
      </c>
      <c r="M20" s="3"/>
      <c r="N20" s="3"/>
      <c r="O20" s="3"/>
      <c r="P20" s="3"/>
    </row>
    <row r="21" spans="1:16">
      <c r="A21" t="s">
        <v>40</v>
      </c>
      <c r="B21">
        <f t="shared" si="0"/>
        <v>4225</v>
      </c>
      <c r="L21" s="3"/>
      <c r="M21" s="3"/>
      <c r="N21" s="3"/>
      <c r="O21" s="3"/>
      <c r="P21" s="3"/>
    </row>
    <row r="22" spans="1:16">
      <c r="E22" t="s">
        <v>50</v>
      </c>
      <c r="F22" s="3">
        <f>I19/I20</f>
        <v>20.287050818626408</v>
      </c>
    </row>
    <row r="23" spans="1:16">
      <c r="A23" t="s">
        <v>41</v>
      </c>
      <c r="B23" s="3">
        <f>B14+B15+B16+B17+B18+B19+B20+B21</f>
        <v>21091</v>
      </c>
      <c r="F23" s="3"/>
    </row>
    <row r="25" spans="1:16">
      <c r="B25" s="3"/>
    </row>
    <row r="26" spans="1:16">
      <c r="A26" s="3" t="s">
        <v>148</v>
      </c>
    </row>
    <row r="27" spans="1:16">
      <c r="A27" s="3" t="s">
        <v>149</v>
      </c>
    </row>
    <row r="29" spans="1:16">
      <c r="E29">
        <f>D11</f>
        <v>7510</v>
      </c>
      <c r="F29" s="2" t="s">
        <v>48</v>
      </c>
      <c r="G29">
        <f>F22*B11</f>
        <v>8216.2555815436954</v>
      </c>
      <c r="H29" s="4" t="s">
        <v>49</v>
      </c>
      <c r="I29">
        <f>E29-G29</f>
        <v>-706.25558154369537</v>
      </c>
    </row>
    <row r="30" spans="1:16">
      <c r="E30" s="7"/>
      <c r="F30" s="7">
        <v>8</v>
      </c>
      <c r="G30" s="7"/>
      <c r="H30" s="7"/>
      <c r="I30" s="7"/>
    </row>
    <row r="32" spans="1:16">
      <c r="E32" t="s">
        <v>51</v>
      </c>
      <c r="F32" s="3">
        <f>I29/H11</f>
        <v>-88.281947692961921</v>
      </c>
    </row>
    <row r="33" spans="12:16">
      <c r="L33" t="s">
        <v>13</v>
      </c>
    </row>
    <row r="45" spans="12:16">
      <c r="P45" t="s">
        <v>150</v>
      </c>
    </row>
  </sheetData>
  <dataConsolidate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A5E0-8350-475D-81E5-980D6A9210CE}">
  <dimension ref="A1"/>
  <sheetViews>
    <sheetView workbookViewId="0">
      <selection activeCell="D16" sqref="D16"/>
    </sheetView>
  </sheetViews>
  <sheetFormatPr defaultRowHeight="14.6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3977-DD0F-425B-9F5A-ACE12CB15A09}">
  <dimension ref="A1:U48"/>
  <sheetViews>
    <sheetView zoomScale="75" zoomScaleNormal="100" workbookViewId="0">
      <selection activeCell="J5" sqref="J5"/>
    </sheetView>
  </sheetViews>
  <sheetFormatPr defaultRowHeight="14.6"/>
  <cols>
    <col min="1" max="1" width="13.23046875" customWidth="1"/>
    <col min="3" max="3" width="13.3828125" customWidth="1"/>
    <col min="4" max="4" width="10.3828125" customWidth="1"/>
    <col min="6" max="6" width="11" customWidth="1"/>
    <col min="8" max="8" width="10.765625" bestFit="1" customWidth="1"/>
    <col min="10" max="10" width="11.15234375" customWidth="1"/>
    <col min="17" max="17" width="12" customWidth="1"/>
  </cols>
  <sheetData>
    <row r="1" spans="1:6" ht="15" thickBot="1">
      <c r="A1" s="27" t="s">
        <v>68</v>
      </c>
      <c r="B1" s="27" t="s">
        <v>69</v>
      </c>
      <c r="C1" s="27" t="s">
        <v>62</v>
      </c>
      <c r="D1" s="27" t="s">
        <v>70</v>
      </c>
      <c r="E1" s="27" t="s">
        <v>71</v>
      </c>
      <c r="F1" s="27" t="s">
        <v>72</v>
      </c>
    </row>
    <row r="2" spans="1:6">
      <c r="A2" s="32">
        <v>1</v>
      </c>
      <c r="B2" s="32" t="s">
        <v>73</v>
      </c>
      <c r="C2" s="32" t="s">
        <v>65</v>
      </c>
      <c r="D2" s="32" t="s">
        <v>74</v>
      </c>
      <c r="E2" s="32" t="s">
        <v>75</v>
      </c>
      <c r="F2" s="32" t="s">
        <v>63</v>
      </c>
    </row>
    <row r="3" spans="1:6">
      <c r="A3" s="32">
        <v>2</v>
      </c>
      <c r="B3" s="32" t="s">
        <v>73</v>
      </c>
      <c r="C3" s="32" t="s">
        <v>65</v>
      </c>
      <c r="D3" s="32" t="s">
        <v>74</v>
      </c>
      <c r="E3" s="32" t="s">
        <v>76</v>
      </c>
      <c r="F3" s="32" t="s">
        <v>63</v>
      </c>
    </row>
    <row r="4" spans="1:6">
      <c r="A4" s="33">
        <v>3</v>
      </c>
      <c r="B4" s="33" t="s">
        <v>77</v>
      </c>
      <c r="C4" s="33" t="s">
        <v>65</v>
      </c>
      <c r="D4" s="33" t="s">
        <v>74</v>
      </c>
      <c r="E4" s="33" t="s">
        <v>75</v>
      </c>
      <c r="F4" s="33" t="s">
        <v>12</v>
      </c>
    </row>
    <row r="5" spans="1:6">
      <c r="A5" s="33">
        <v>4</v>
      </c>
      <c r="B5" s="33" t="s">
        <v>78</v>
      </c>
      <c r="C5" s="33" t="s">
        <v>66</v>
      </c>
      <c r="D5" s="33" t="s">
        <v>74</v>
      </c>
      <c r="E5" s="33" t="s">
        <v>75</v>
      </c>
      <c r="F5" s="33" t="s">
        <v>12</v>
      </c>
    </row>
    <row r="6" spans="1:6">
      <c r="A6" s="33">
        <v>5</v>
      </c>
      <c r="B6" s="33" t="s">
        <v>78</v>
      </c>
      <c r="C6" s="33" t="s">
        <v>67</v>
      </c>
      <c r="D6" s="33" t="s">
        <v>79</v>
      </c>
      <c r="E6" s="33" t="s">
        <v>75</v>
      </c>
      <c r="F6" s="33" t="s">
        <v>12</v>
      </c>
    </row>
    <row r="7" spans="1:6">
      <c r="A7" s="32">
        <v>6</v>
      </c>
      <c r="B7" s="32" t="s">
        <v>78</v>
      </c>
      <c r="C7" s="32" t="s">
        <v>67</v>
      </c>
      <c r="D7" s="32" t="s">
        <v>79</v>
      </c>
      <c r="E7" s="32" t="s">
        <v>76</v>
      </c>
      <c r="F7" s="32" t="s">
        <v>63</v>
      </c>
    </row>
    <row r="8" spans="1:6">
      <c r="A8" s="33">
        <v>7</v>
      </c>
      <c r="B8" s="33" t="s">
        <v>77</v>
      </c>
      <c r="C8" s="33" t="s">
        <v>67</v>
      </c>
      <c r="D8" s="33" t="s">
        <v>79</v>
      </c>
      <c r="E8" s="33" t="s">
        <v>76</v>
      </c>
      <c r="F8" s="33" t="s">
        <v>12</v>
      </c>
    </row>
    <row r="9" spans="1:6">
      <c r="A9" s="32">
        <v>8</v>
      </c>
      <c r="B9" s="32" t="s">
        <v>73</v>
      </c>
      <c r="C9" s="32" t="s">
        <v>66</v>
      </c>
      <c r="D9" s="32" t="s">
        <v>74</v>
      </c>
      <c r="E9" s="32" t="s">
        <v>75</v>
      </c>
      <c r="F9" s="32" t="s">
        <v>63</v>
      </c>
    </row>
    <row r="10" spans="1:6">
      <c r="A10" s="33">
        <v>9</v>
      </c>
      <c r="B10" s="33" t="s">
        <v>73</v>
      </c>
      <c r="C10" s="33" t="s">
        <v>67</v>
      </c>
      <c r="D10" s="33" t="s">
        <v>79</v>
      </c>
      <c r="E10" s="33" t="s">
        <v>75</v>
      </c>
      <c r="F10" s="33" t="s">
        <v>12</v>
      </c>
    </row>
    <row r="11" spans="1:6">
      <c r="A11" s="33">
        <v>10</v>
      </c>
      <c r="B11" s="33" t="s">
        <v>78</v>
      </c>
      <c r="C11" s="33" t="s">
        <v>66</v>
      </c>
      <c r="D11" s="33" t="s">
        <v>79</v>
      </c>
      <c r="E11" s="33" t="s">
        <v>75</v>
      </c>
      <c r="F11" s="33" t="s">
        <v>12</v>
      </c>
    </row>
    <row r="12" spans="1:6">
      <c r="A12" s="33">
        <v>11</v>
      </c>
      <c r="B12" s="33" t="s">
        <v>73</v>
      </c>
      <c r="C12" s="33" t="s">
        <v>66</v>
      </c>
      <c r="D12" s="33" t="s">
        <v>79</v>
      </c>
      <c r="E12" s="33" t="s">
        <v>76</v>
      </c>
      <c r="F12" s="33" t="s">
        <v>12</v>
      </c>
    </row>
    <row r="13" spans="1:6">
      <c r="A13" s="33">
        <v>12</v>
      </c>
      <c r="B13" s="33" t="s">
        <v>77</v>
      </c>
      <c r="C13" s="33" t="s">
        <v>66</v>
      </c>
      <c r="D13" s="33" t="s">
        <v>74</v>
      </c>
      <c r="E13" s="33" t="s">
        <v>76</v>
      </c>
      <c r="F13" s="33" t="s">
        <v>12</v>
      </c>
    </row>
    <row r="14" spans="1:6">
      <c r="A14" s="33">
        <v>13</v>
      </c>
      <c r="B14" s="33" t="s">
        <v>77</v>
      </c>
      <c r="C14" s="33" t="s">
        <v>65</v>
      </c>
      <c r="D14" s="33" t="s">
        <v>79</v>
      </c>
      <c r="E14" s="33" t="s">
        <v>75</v>
      </c>
      <c r="F14" s="33" t="s">
        <v>12</v>
      </c>
    </row>
    <row r="15" spans="1:6">
      <c r="A15" s="32">
        <v>14</v>
      </c>
      <c r="B15" s="32" t="s">
        <v>78</v>
      </c>
      <c r="C15" s="32" t="s">
        <v>66</v>
      </c>
      <c r="D15" s="32" t="s">
        <v>74</v>
      </c>
      <c r="E15" s="32" t="s">
        <v>76</v>
      </c>
      <c r="F15" s="32" t="s">
        <v>63</v>
      </c>
    </row>
    <row r="16" spans="1:6" ht="15" thickBot="1"/>
    <row r="17" spans="1:21">
      <c r="M17" s="10" t="s">
        <v>141</v>
      </c>
      <c r="N17" s="26"/>
      <c r="O17" s="26"/>
      <c r="P17" s="26"/>
      <c r="Q17" s="26"/>
      <c r="R17" s="26"/>
      <c r="S17" s="26"/>
      <c r="T17" s="26"/>
      <c r="U17" s="11"/>
    </row>
    <row r="18" spans="1:21" ht="15" thickBot="1">
      <c r="A18" s="23" t="s">
        <v>69</v>
      </c>
      <c r="B18" s="23" t="s">
        <v>63</v>
      </c>
      <c r="C18" s="23" t="s">
        <v>12</v>
      </c>
      <c r="D18" s="23" t="s">
        <v>64</v>
      </c>
      <c r="E18" s="23" t="s">
        <v>80</v>
      </c>
      <c r="F18" s="23" t="s">
        <v>83</v>
      </c>
      <c r="G18" s="23" t="s">
        <v>84</v>
      </c>
      <c r="H18" s="23" t="s">
        <v>82</v>
      </c>
      <c r="I18" s="23" t="s">
        <v>86</v>
      </c>
      <c r="J18" s="23" t="s">
        <v>85</v>
      </c>
      <c r="M18" s="12"/>
      <c r="U18" s="13"/>
    </row>
    <row r="19" spans="1:21" ht="15" thickBot="1">
      <c r="A19" s="24" t="s">
        <v>77</v>
      </c>
      <c r="B19" s="24">
        <v>0</v>
      </c>
      <c r="C19" s="24">
        <v>4</v>
      </c>
      <c r="D19" s="24">
        <v>4</v>
      </c>
      <c r="E19" s="28">
        <f>C19/D19</f>
        <v>1</v>
      </c>
      <c r="F19">
        <f>C19/D19</f>
        <v>1</v>
      </c>
      <c r="G19">
        <f>B19/D19</f>
        <v>0</v>
      </c>
      <c r="H19">
        <f>IF(G19=0,0,-G19*LOG(G19,2)) + IF(F19=0,0,-F19*LOG(F19,2))</f>
        <v>0</v>
      </c>
      <c r="I19">
        <f>D19/$D$19</f>
        <v>1</v>
      </c>
      <c r="J19">
        <f>H19*I19</f>
        <v>0</v>
      </c>
      <c r="M19" s="12"/>
      <c r="P19" s="29" t="s">
        <v>87</v>
      </c>
      <c r="U19" s="13"/>
    </row>
    <row r="20" spans="1:21">
      <c r="A20" s="24" t="s">
        <v>78</v>
      </c>
      <c r="B20" s="24">
        <v>2</v>
      </c>
      <c r="C20" s="24">
        <v>3</v>
      </c>
      <c r="D20" s="24">
        <v>5</v>
      </c>
      <c r="E20" s="28">
        <f t="shared" ref="E20:E40" si="0">C20/D20</f>
        <v>0.6</v>
      </c>
      <c r="F20">
        <f t="shared" ref="F20:F40" si="1">C20/D20</f>
        <v>0.6</v>
      </c>
      <c r="G20">
        <f t="shared" ref="G20:G40" si="2">B20/D20</f>
        <v>0.4</v>
      </c>
      <c r="H20">
        <f t="shared" ref="H20:H40" si="3">IF(G20=0,0,-G20*LOG(G20,2)) + IF(F20=0,0,-F20*LOG(F20,2))</f>
        <v>0.97095059445466858</v>
      </c>
      <c r="I20">
        <f t="shared" ref="I20:I40" si="4">D20/$D$19</f>
        <v>1.25</v>
      </c>
      <c r="J20">
        <f>H20*I20</f>
        <v>1.2136882430683358</v>
      </c>
      <c r="M20" s="12"/>
      <c r="O20" s="4" t="s">
        <v>95</v>
      </c>
      <c r="Q20" t="s">
        <v>96</v>
      </c>
      <c r="U20" s="13"/>
    </row>
    <row r="21" spans="1:21" ht="15" thickBot="1">
      <c r="A21" s="24" t="s">
        <v>73</v>
      </c>
      <c r="B21" s="24">
        <v>3</v>
      </c>
      <c r="C21" s="24">
        <v>2</v>
      </c>
      <c r="D21" s="24">
        <v>5</v>
      </c>
      <c r="E21" s="28">
        <f t="shared" si="0"/>
        <v>0.4</v>
      </c>
      <c r="F21">
        <f t="shared" si="1"/>
        <v>0.4</v>
      </c>
      <c r="G21">
        <f t="shared" si="2"/>
        <v>0.6</v>
      </c>
      <c r="H21">
        <f t="shared" si="3"/>
        <v>0.97095059445466858</v>
      </c>
      <c r="I21">
        <f t="shared" si="4"/>
        <v>1.25</v>
      </c>
      <c r="J21">
        <f t="shared" ref="J21:J40" si="5">H21*I21</f>
        <v>1.2136882430683358</v>
      </c>
      <c r="M21" s="12"/>
      <c r="O21" s="2" t="s">
        <v>95</v>
      </c>
      <c r="Q21" s="2" t="s">
        <v>96</v>
      </c>
      <c r="U21" s="13"/>
    </row>
    <row r="22" spans="1:21" ht="15" thickBot="1">
      <c r="A22" s="25" t="s">
        <v>64</v>
      </c>
      <c r="B22" s="24">
        <v>5</v>
      </c>
      <c r="C22" s="24">
        <v>9</v>
      </c>
      <c r="D22" s="24">
        <v>14</v>
      </c>
      <c r="E22" s="28">
        <f t="shared" si="0"/>
        <v>0.6428571428571429</v>
      </c>
      <c r="F22">
        <f t="shared" si="1"/>
        <v>0.6428571428571429</v>
      </c>
      <c r="G22">
        <f t="shared" si="2"/>
        <v>0.35714285714285715</v>
      </c>
      <c r="H22">
        <f t="shared" si="3"/>
        <v>0.94028595867063092</v>
      </c>
      <c r="I22">
        <f t="shared" si="4"/>
        <v>3.5</v>
      </c>
      <c r="J22">
        <f t="shared" si="5"/>
        <v>3.2910008553472081</v>
      </c>
      <c r="M22" s="12"/>
      <c r="O22" s="34" t="s">
        <v>77</v>
      </c>
      <c r="Q22" s="36" t="s">
        <v>91</v>
      </c>
      <c r="U22" s="13"/>
    </row>
    <row r="23" spans="1:21" ht="15" thickBot="1">
      <c r="E23" s="28"/>
      <c r="M23" s="12"/>
      <c r="O23" s="35" t="s">
        <v>88</v>
      </c>
      <c r="Q23" s="31" t="s">
        <v>92</v>
      </c>
      <c r="U23" s="13"/>
    </row>
    <row r="24" spans="1:21">
      <c r="A24" s="24"/>
      <c r="M24" s="12"/>
      <c r="O24" s="52" t="s">
        <v>142</v>
      </c>
      <c r="P24" s="4" t="s">
        <v>95</v>
      </c>
      <c r="Q24" t="s">
        <v>143</v>
      </c>
      <c r="R24" t="s">
        <v>96</v>
      </c>
      <c r="U24" s="13"/>
    </row>
    <row r="25" spans="1:21">
      <c r="A25" s="23" t="s">
        <v>62</v>
      </c>
      <c r="B25" s="23" t="s">
        <v>63</v>
      </c>
      <c r="C25" s="23" t="s">
        <v>12</v>
      </c>
      <c r="D25" s="23" t="s">
        <v>64</v>
      </c>
      <c r="E25" s="28"/>
      <c r="M25" s="12"/>
      <c r="P25" s="2" t="s">
        <v>95</v>
      </c>
      <c r="R25" t="s">
        <v>96</v>
      </c>
      <c r="U25" s="13"/>
    </row>
    <row r="26" spans="1:21" ht="15" thickBot="1">
      <c r="A26" s="24" t="s">
        <v>67</v>
      </c>
      <c r="B26" s="24">
        <v>1</v>
      </c>
      <c r="C26" s="24">
        <v>3</v>
      </c>
      <c r="D26" s="24">
        <v>4</v>
      </c>
      <c r="E26" s="28">
        <f t="shared" si="0"/>
        <v>0.75</v>
      </c>
      <c r="F26">
        <f t="shared" si="1"/>
        <v>0.75</v>
      </c>
      <c r="G26">
        <f t="shared" si="2"/>
        <v>0.25</v>
      </c>
      <c r="H26">
        <f t="shared" si="3"/>
        <v>0.81127812445913283</v>
      </c>
      <c r="I26">
        <f t="shared" si="4"/>
        <v>1</v>
      </c>
      <c r="J26">
        <f t="shared" si="5"/>
        <v>0.81127812445913283</v>
      </c>
      <c r="M26" s="12"/>
      <c r="U26" s="13"/>
    </row>
    <row r="27" spans="1:21" ht="15" thickBot="1">
      <c r="A27" s="24" t="s">
        <v>65</v>
      </c>
      <c r="B27" s="24">
        <v>2</v>
      </c>
      <c r="C27" s="24">
        <v>2</v>
      </c>
      <c r="D27" s="24">
        <v>4</v>
      </c>
      <c r="E27" s="28">
        <f t="shared" si="0"/>
        <v>0.5</v>
      </c>
      <c r="F27">
        <f t="shared" si="1"/>
        <v>0.5</v>
      </c>
      <c r="G27">
        <f t="shared" si="2"/>
        <v>0.5</v>
      </c>
      <c r="H27">
        <f t="shared" si="3"/>
        <v>1</v>
      </c>
      <c r="I27">
        <f t="shared" si="4"/>
        <v>1</v>
      </c>
      <c r="J27">
        <f t="shared" si="5"/>
        <v>1</v>
      </c>
      <c r="M27" s="12"/>
      <c r="O27" s="36" t="s">
        <v>78</v>
      </c>
      <c r="R27" s="36" t="s">
        <v>73</v>
      </c>
      <c r="U27" s="13"/>
    </row>
    <row r="28" spans="1:21" ht="15" thickBot="1">
      <c r="A28" s="24" t="s">
        <v>66</v>
      </c>
      <c r="B28" s="24">
        <v>2</v>
      </c>
      <c r="C28" s="24">
        <v>4</v>
      </c>
      <c r="D28" s="24">
        <v>6</v>
      </c>
      <c r="E28" s="28">
        <f t="shared" si="0"/>
        <v>0.66666666666666663</v>
      </c>
      <c r="F28">
        <f t="shared" si="1"/>
        <v>0.66666666666666663</v>
      </c>
      <c r="G28">
        <f t="shared" si="2"/>
        <v>0.33333333333333331</v>
      </c>
      <c r="H28">
        <f t="shared" si="3"/>
        <v>0.91829583405448956</v>
      </c>
      <c r="I28">
        <f t="shared" si="4"/>
        <v>1.5</v>
      </c>
      <c r="J28">
        <f t="shared" si="5"/>
        <v>1.3774437510817343</v>
      </c>
      <c r="M28" s="12"/>
      <c r="O28" s="37" t="s">
        <v>90</v>
      </c>
      <c r="P28" s="38" t="s">
        <v>89</v>
      </c>
      <c r="R28" s="37" t="s">
        <v>93</v>
      </c>
      <c r="S28" s="38" t="s">
        <v>94</v>
      </c>
      <c r="U28" s="13"/>
    </row>
    <row r="29" spans="1:21">
      <c r="A29" s="25" t="s">
        <v>64</v>
      </c>
      <c r="B29">
        <f>B26+B27+B28</f>
        <v>5</v>
      </c>
      <c r="C29">
        <f>C26+C27+C28</f>
        <v>9</v>
      </c>
      <c r="D29">
        <f>D26+D27+D28</f>
        <v>14</v>
      </c>
      <c r="E29" s="28">
        <f t="shared" si="0"/>
        <v>0.6428571428571429</v>
      </c>
      <c r="F29">
        <f t="shared" si="1"/>
        <v>0.6428571428571429</v>
      </c>
      <c r="G29">
        <f t="shared" si="2"/>
        <v>0.35714285714285715</v>
      </c>
      <c r="H29">
        <f t="shared" si="3"/>
        <v>0.94028595867063092</v>
      </c>
      <c r="I29">
        <f t="shared" si="4"/>
        <v>3.5</v>
      </c>
      <c r="J29">
        <f t="shared" si="5"/>
        <v>3.2910008553472081</v>
      </c>
      <c r="M29" s="12"/>
      <c r="O29" t="s">
        <v>97</v>
      </c>
      <c r="P29" t="s">
        <v>144</v>
      </c>
      <c r="S29" t="s">
        <v>145</v>
      </c>
      <c r="U29" s="13"/>
    </row>
    <row r="30" spans="1:21" ht="15" thickBot="1">
      <c r="E30" s="28"/>
      <c r="M30" s="12"/>
      <c r="N30" s="4" t="s">
        <v>95</v>
      </c>
      <c r="P30" t="s">
        <v>96</v>
      </c>
      <c r="S30" t="s">
        <v>101</v>
      </c>
      <c r="U30" s="13"/>
    </row>
    <row r="31" spans="1:21" ht="15" thickBot="1">
      <c r="E31" s="28"/>
      <c r="M31" s="12"/>
      <c r="N31" s="39" t="s">
        <v>146</v>
      </c>
      <c r="P31" s="34" t="s">
        <v>147</v>
      </c>
      <c r="R31" s="4" t="s">
        <v>95</v>
      </c>
      <c r="T31" t="s">
        <v>96</v>
      </c>
      <c r="U31" s="13"/>
    </row>
    <row r="32" spans="1:21" ht="15" thickBot="1">
      <c r="A32" s="23" t="s">
        <v>70</v>
      </c>
      <c r="B32" s="23" t="s">
        <v>63</v>
      </c>
      <c r="C32" s="23" t="s">
        <v>12</v>
      </c>
      <c r="D32" s="23" t="s">
        <v>64</v>
      </c>
      <c r="E32" s="28"/>
      <c r="M32" s="12"/>
      <c r="N32" s="32" t="s">
        <v>100</v>
      </c>
      <c r="P32" s="33" t="s">
        <v>88</v>
      </c>
      <c r="R32" s="40" t="s">
        <v>102</v>
      </c>
      <c r="T32" s="41" t="s">
        <v>103</v>
      </c>
      <c r="U32" s="13"/>
    </row>
    <row r="33" spans="1:21">
      <c r="A33" s="24" t="s">
        <v>74</v>
      </c>
      <c r="B33" s="24">
        <v>4</v>
      </c>
      <c r="C33" s="24">
        <v>3</v>
      </c>
      <c r="D33" s="24">
        <v>7</v>
      </c>
      <c r="E33" s="28">
        <f t="shared" si="0"/>
        <v>0.42857142857142855</v>
      </c>
      <c r="F33">
        <f t="shared" si="1"/>
        <v>0.42857142857142855</v>
      </c>
      <c r="G33">
        <f t="shared" si="2"/>
        <v>0.5714285714285714</v>
      </c>
      <c r="H33">
        <f t="shared" si="3"/>
        <v>0.98522813603425163</v>
      </c>
      <c r="I33">
        <f t="shared" si="4"/>
        <v>1.75</v>
      </c>
      <c r="J33">
        <f t="shared" si="5"/>
        <v>1.7241492380599404</v>
      </c>
      <c r="M33" s="12"/>
      <c r="R33" s="51" t="s">
        <v>104</v>
      </c>
      <c r="T33" s="49" t="s">
        <v>100</v>
      </c>
      <c r="U33" s="13"/>
    </row>
    <row r="34" spans="1:21">
      <c r="A34" s="24" t="s">
        <v>79</v>
      </c>
      <c r="B34" s="24">
        <v>1</v>
      </c>
      <c r="C34" s="24">
        <v>6</v>
      </c>
      <c r="D34" s="24">
        <v>7</v>
      </c>
      <c r="E34" s="28">
        <f t="shared" si="0"/>
        <v>0.8571428571428571</v>
      </c>
      <c r="F34">
        <f t="shared" si="1"/>
        <v>0.8571428571428571</v>
      </c>
      <c r="G34">
        <f t="shared" si="2"/>
        <v>0.14285714285714285</v>
      </c>
      <c r="H34">
        <f t="shared" si="3"/>
        <v>0.59167277858232747</v>
      </c>
      <c r="I34">
        <f t="shared" si="4"/>
        <v>1.75</v>
      </c>
      <c r="J34">
        <f t="shared" si="5"/>
        <v>1.0354273625190731</v>
      </c>
      <c r="M34" s="12"/>
      <c r="U34" s="13"/>
    </row>
    <row r="35" spans="1:21">
      <c r="A35" t="s">
        <v>64</v>
      </c>
      <c r="B35">
        <f>B33+B34</f>
        <v>5</v>
      </c>
      <c r="C35">
        <f>C33+C34</f>
        <v>9</v>
      </c>
      <c r="D35">
        <f>D33+D34</f>
        <v>14</v>
      </c>
      <c r="E35" s="28">
        <f t="shared" si="0"/>
        <v>0.6428571428571429</v>
      </c>
      <c r="F35">
        <f t="shared" si="1"/>
        <v>0.6428571428571429</v>
      </c>
      <c r="G35">
        <f t="shared" si="2"/>
        <v>0.35714285714285715</v>
      </c>
      <c r="H35">
        <f t="shared" si="3"/>
        <v>0.94028595867063092</v>
      </c>
      <c r="I35">
        <f t="shared" si="4"/>
        <v>3.5</v>
      </c>
      <c r="J35">
        <f t="shared" si="5"/>
        <v>3.2910008553472081</v>
      </c>
      <c r="M35" s="12"/>
      <c r="U35" s="13"/>
    </row>
    <row r="36" spans="1:21" ht="30" customHeight="1" thickBot="1">
      <c r="E36" s="28"/>
      <c r="M36" s="14"/>
      <c r="N36" s="27"/>
      <c r="O36" s="27"/>
      <c r="P36" s="27"/>
      <c r="Q36" s="27"/>
      <c r="R36" s="27"/>
      <c r="S36" s="27"/>
      <c r="T36" s="27"/>
      <c r="U36" s="15"/>
    </row>
    <row r="37" spans="1:21">
      <c r="A37" s="23" t="s">
        <v>71</v>
      </c>
      <c r="B37" s="23" t="s">
        <v>63</v>
      </c>
      <c r="C37" s="23" t="s">
        <v>12</v>
      </c>
      <c r="D37" s="23" t="s">
        <v>64</v>
      </c>
      <c r="E37" s="28"/>
    </row>
    <row r="38" spans="1:21">
      <c r="A38" s="24" t="s">
        <v>75</v>
      </c>
      <c r="B38" s="24">
        <v>2</v>
      </c>
      <c r="C38" s="24">
        <v>6</v>
      </c>
      <c r="D38" s="24">
        <v>8</v>
      </c>
      <c r="E38" s="28">
        <f t="shared" si="0"/>
        <v>0.75</v>
      </c>
      <c r="F38">
        <f t="shared" si="1"/>
        <v>0.75</v>
      </c>
      <c r="G38">
        <f t="shared" si="2"/>
        <v>0.25</v>
      </c>
      <c r="H38">
        <f t="shared" si="3"/>
        <v>0.81127812445913283</v>
      </c>
      <c r="I38">
        <f t="shared" si="4"/>
        <v>2</v>
      </c>
      <c r="J38">
        <f t="shared" si="5"/>
        <v>1.6225562489182657</v>
      </c>
    </row>
    <row r="39" spans="1:21">
      <c r="A39" s="24" t="s">
        <v>76</v>
      </c>
      <c r="B39" s="24">
        <v>3</v>
      </c>
      <c r="C39" s="24">
        <v>3</v>
      </c>
      <c r="D39" s="24">
        <v>6</v>
      </c>
      <c r="E39" s="28">
        <f t="shared" si="0"/>
        <v>0.5</v>
      </c>
      <c r="F39">
        <f t="shared" si="1"/>
        <v>0.5</v>
      </c>
      <c r="G39">
        <f t="shared" si="2"/>
        <v>0.5</v>
      </c>
      <c r="H39">
        <f t="shared" si="3"/>
        <v>1</v>
      </c>
      <c r="I39">
        <f t="shared" si="4"/>
        <v>1.5</v>
      </c>
      <c r="J39">
        <f t="shared" si="5"/>
        <v>1.5</v>
      </c>
    </row>
    <row r="40" spans="1:21">
      <c r="A40" s="3" t="s">
        <v>81</v>
      </c>
      <c r="B40" s="3">
        <f>B38+B39</f>
        <v>5</v>
      </c>
      <c r="C40" s="3">
        <f>C38+C39</f>
        <v>9</v>
      </c>
      <c r="D40" s="3">
        <f>D38+D39</f>
        <v>14</v>
      </c>
      <c r="E40" s="28">
        <f t="shared" si="0"/>
        <v>0.6428571428571429</v>
      </c>
      <c r="F40">
        <f t="shared" si="1"/>
        <v>0.6428571428571429</v>
      </c>
      <c r="G40">
        <f t="shared" si="2"/>
        <v>0.35714285714285715</v>
      </c>
      <c r="H40">
        <f t="shared" si="3"/>
        <v>0.94028595867063092</v>
      </c>
      <c r="I40">
        <f t="shared" si="4"/>
        <v>3.5</v>
      </c>
      <c r="J40">
        <f t="shared" si="5"/>
        <v>3.2910008553472081</v>
      </c>
    </row>
    <row r="42" spans="1:21">
      <c r="A42" s="23"/>
      <c r="B42" s="23"/>
      <c r="C42" s="23"/>
      <c r="D42" s="23"/>
      <c r="E42" s="23"/>
      <c r="F42" s="23"/>
      <c r="G42" s="23"/>
    </row>
    <row r="43" spans="1:21">
      <c r="A43" s="25"/>
      <c r="B43" s="24"/>
      <c r="C43" s="24"/>
      <c r="D43" s="24"/>
      <c r="E43" s="24"/>
      <c r="F43" s="24"/>
      <c r="G43" s="24"/>
    </row>
    <row r="44" spans="1:21">
      <c r="A44" s="24"/>
      <c r="B44" s="24"/>
      <c r="C44" s="24"/>
      <c r="D44" s="24"/>
      <c r="E44" s="24"/>
      <c r="F44" s="24"/>
      <c r="G44" s="24"/>
    </row>
    <row r="45" spans="1:21">
      <c r="A45" s="25"/>
      <c r="B45" s="24"/>
      <c r="C45" s="24"/>
      <c r="D45" s="30"/>
      <c r="E45" s="30"/>
      <c r="F45" s="30"/>
      <c r="G45" s="24"/>
    </row>
    <row r="46" spans="1:21">
      <c r="A46" s="24"/>
      <c r="B46" s="24"/>
      <c r="C46" s="24"/>
      <c r="D46" s="24"/>
      <c r="E46" s="24"/>
      <c r="F46" s="25"/>
      <c r="G46" s="24"/>
    </row>
    <row r="47" spans="1:21" ht="27.9" customHeight="1"/>
    <row r="48" spans="1:21" ht="34.299999999999997" customHeight="1"/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EABA-F4D3-4D85-9893-6697C794994F}">
  <dimension ref="A1:F15"/>
  <sheetViews>
    <sheetView workbookViewId="0">
      <selection activeCell="D1" sqref="D1"/>
    </sheetView>
  </sheetViews>
  <sheetFormatPr defaultRowHeight="14.6"/>
  <sheetData>
    <row r="1" spans="1:6" ht="15" thickBot="1">
      <c r="A1" s="27" t="s">
        <v>68</v>
      </c>
      <c r="B1" s="27" t="s">
        <v>69</v>
      </c>
      <c r="C1" s="27" t="s">
        <v>62</v>
      </c>
      <c r="D1" s="27" t="s">
        <v>70</v>
      </c>
      <c r="E1" s="27" t="s">
        <v>71</v>
      </c>
      <c r="F1" s="27" t="s">
        <v>72</v>
      </c>
    </row>
    <row r="2" spans="1:6">
      <c r="A2" s="32">
        <v>1</v>
      </c>
      <c r="B2" s="32" t="s">
        <v>73</v>
      </c>
      <c r="C2" s="32" t="s">
        <v>65</v>
      </c>
      <c r="D2" s="32" t="s">
        <v>74</v>
      </c>
      <c r="E2" s="32" t="s">
        <v>75</v>
      </c>
      <c r="F2" s="32" t="s">
        <v>63</v>
      </c>
    </row>
    <row r="3" spans="1:6">
      <c r="A3" s="32">
        <v>2</v>
      </c>
      <c r="B3" s="32" t="s">
        <v>73</v>
      </c>
      <c r="C3" s="32" t="s">
        <v>65</v>
      </c>
      <c r="D3" s="32" t="s">
        <v>74</v>
      </c>
      <c r="E3" s="32" t="s">
        <v>76</v>
      </c>
      <c r="F3" s="32" t="s">
        <v>63</v>
      </c>
    </row>
    <row r="4" spans="1:6">
      <c r="A4" s="33">
        <v>3</v>
      </c>
      <c r="B4" s="33" t="s">
        <v>77</v>
      </c>
      <c r="C4" s="33" t="s">
        <v>65</v>
      </c>
      <c r="D4" s="33" t="s">
        <v>74</v>
      </c>
      <c r="E4" s="33" t="s">
        <v>75</v>
      </c>
      <c r="F4" s="33" t="s">
        <v>12</v>
      </c>
    </row>
    <row r="5" spans="1:6">
      <c r="A5" s="33">
        <v>4</v>
      </c>
      <c r="B5" s="33" t="s">
        <v>78</v>
      </c>
      <c r="C5" s="33" t="s">
        <v>66</v>
      </c>
      <c r="D5" s="33" t="s">
        <v>74</v>
      </c>
      <c r="E5" s="33" t="s">
        <v>75</v>
      </c>
      <c r="F5" s="33" t="s">
        <v>12</v>
      </c>
    </row>
    <row r="6" spans="1:6">
      <c r="A6" s="33">
        <v>5</v>
      </c>
      <c r="B6" s="33" t="s">
        <v>78</v>
      </c>
      <c r="C6" s="33" t="s">
        <v>67</v>
      </c>
      <c r="D6" s="33" t="s">
        <v>79</v>
      </c>
      <c r="E6" s="33" t="s">
        <v>75</v>
      </c>
      <c r="F6" s="33" t="s">
        <v>12</v>
      </c>
    </row>
    <row r="7" spans="1:6">
      <c r="A7" s="32">
        <v>6</v>
      </c>
      <c r="B7" s="32" t="s">
        <v>78</v>
      </c>
      <c r="C7" s="32" t="s">
        <v>67</v>
      </c>
      <c r="D7" s="32" t="s">
        <v>79</v>
      </c>
      <c r="E7" s="32" t="s">
        <v>76</v>
      </c>
      <c r="F7" s="32" t="s">
        <v>63</v>
      </c>
    </row>
    <row r="8" spans="1:6">
      <c r="A8" s="33">
        <v>7</v>
      </c>
      <c r="B8" s="33" t="s">
        <v>77</v>
      </c>
      <c r="C8" s="33" t="s">
        <v>67</v>
      </c>
      <c r="D8" s="33" t="s">
        <v>79</v>
      </c>
      <c r="E8" s="33" t="s">
        <v>76</v>
      </c>
      <c r="F8" s="33" t="s">
        <v>12</v>
      </c>
    </row>
    <row r="9" spans="1:6">
      <c r="A9" s="32">
        <v>8</v>
      </c>
      <c r="B9" s="32" t="s">
        <v>73</v>
      </c>
      <c r="C9" s="32" t="s">
        <v>66</v>
      </c>
      <c r="D9" s="32" t="s">
        <v>74</v>
      </c>
      <c r="E9" s="32" t="s">
        <v>75</v>
      </c>
      <c r="F9" s="32" t="s">
        <v>63</v>
      </c>
    </row>
    <row r="10" spans="1:6">
      <c r="A10" s="33">
        <v>9</v>
      </c>
      <c r="B10" s="33" t="s">
        <v>73</v>
      </c>
      <c r="C10" s="33" t="s">
        <v>67</v>
      </c>
      <c r="D10" s="33" t="s">
        <v>79</v>
      </c>
      <c r="E10" s="33" t="s">
        <v>75</v>
      </c>
      <c r="F10" s="33" t="s">
        <v>12</v>
      </c>
    </row>
    <row r="11" spans="1:6">
      <c r="A11" s="33">
        <v>10</v>
      </c>
      <c r="B11" s="33" t="s">
        <v>78</v>
      </c>
      <c r="C11" s="33" t="s">
        <v>66</v>
      </c>
      <c r="D11" s="33" t="s">
        <v>79</v>
      </c>
      <c r="E11" s="33" t="s">
        <v>75</v>
      </c>
      <c r="F11" s="33" t="s">
        <v>12</v>
      </c>
    </row>
    <row r="12" spans="1:6">
      <c r="A12" s="33">
        <v>11</v>
      </c>
      <c r="B12" s="33" t="s">
        <v>73</v>
      </c>
      <c r="C12" s="33" t="s">
        <v>66</v>
      </c>
      <c r="D12" s="33" t="s">
        <v>79</v>
      </c>
      <c r="E12" s="33" t="s">
        <v>76</v>
      </c>
      <c r="F12" s="33" t="s">
        <v>12</v>
      </c>
    </row>
    <row r="13" spans="1:6">
      <c r="A13" s="33">
        <v>12</v>
      </c>
      <c r="B13" s="33" t="s">
        <v>77</v>
      </c>
      <c r="C13" s="33" t="s">
        <v>66</v>
      </c>
      <c r="D13" s="33" t="s">
        <v>74</v>
      </c>
      <c r="E13" s="33" t="s">
        <v>76</v>
      </c>
      <c r="F13" s="33" t="s">
        <v>12</v>
      </c>
    </row>
    <row r="14" spans="1:6">
      <c r="A14" s="33">
        <v>13</v>
      </c>
      <c r="B14" s="33" t="s">
        <v>77</v>
      </c>
      <c r="C14" s="33" t="s">
        <v>65</v>
      </c>
      <c r="D14" s="33" t="s">
        <v>79</v>
      </c>
      <c r="E14" s="33" t="s">
        <v>75</v>
      </c>
      <c r="F14" s="33" t="s">
        <v>12</v>
      </c>
    </row>
    <row r="15" spans="1:6">
      <c r="A15" s="32">
        <v>14</v>
      </c>
      <c r="B15" s="32" t="s">
        <v>78</v>
      </c>
      <c r="C15" s="32" t="s">
        <v>66</v>
      </c>
      <c r="D15" s="32" t="s">
        <v>74</v>
      </c>
      <c r="E15" s="32" t="s">
        <v>76</v>
      </c>
      <c r="F15" s="32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F800-AA31-4870-8D68-83545514C162}">
  <dimension ref="A1:E52"/>
  <sheetViews>
    <sheetView zoomScale="85" zoomScaleNormal="85" workbookViewId="0">
      <selection activeCell="H33" sqref="H33"/>
    </sheetView>
  </sheetViews>
  <sheetFormatPr defaultRowHeight="14.6"/>
  <cols>
    <col min="2" max="2" width="11.23046875" customWidth="1"/>
    <col min="3" max="3" width="13.15234375" customWidth="1"/>
    <col min="4" max="4" width="13.23046875" customWidth="1"/>
    <col min="5" max="5" width="15.765625" customWidth="1"/>
  </cols>
  <sheetData>
    <row r="1" spans="1:5">
      <c r="A1" s="23" t="s">
        <v>105</v>
      </c>
      <c r="B1" s="23" t="s">
        <v>106</v>
      </c>
      <c r="C1" s="23" t="s">
        <v>107</v>
      </c>
      <c r="D1" s="23" t="s">
        <v>108</v>
      </c>
      <c r="E1" s="23" t="s">
        <v>109</v>
      </c>
    </row>
    <row r="2" spans="1:5">
      <c r="A2" s="24">
        <v>1</v>
      </c>
      <c r="B2" s="24">
        <v>45</v>
      </c>
      <c r="C2" s="24">
        <v>5</v>
      </c>
      <c r="D2" s="24">
        <v>0</v>
      </c>
      <c r="E2" s="24" t="s">
        <v>63</v>
      </c>
    </row>
    <row r="3" spans="1:5">
      <c r="A3" s="42">
        <v>2</v>
      </c>
      <c r="B3" s="42">
        <v>78</v>
      </c>
      <c r="C3" s="42">
        <v>12</v>
      </c>
      <c r="D3" s="42">
        <v>3</v>
      </c>
      <c r="E3" s="42" t="s">
        <v>12</v>
      </c>
    </row>
    <row r="4" spans="1:5">
      <c r="A4" s="24">
        <v>3</v>
      </c>
      <c r="B4" s="24">
        <v>52</v>
      </c>
      <c r="C4" s="24">
        <v>8</v>
      </c>
      <c r="D4" s="24">
        <v>1</v>
      </c>
      <c r="E4" s="24" t="s">
        <v>63</v>
      </c>
    </row>
    <row r="5" spans="1:5">
      <c r="A5" s="42">
        <v>4</v>
      </c>
      <c r="B5" s="42">
        <v>85</v>
      </c>
      <c r="C5" s="42">
        <v>15</v>
      </c>
      <c r="D5" s="42">
        <v>4</v>
      </c>
      <c r="E5" s="42" t="s">
        <v>12</v>
      </c>
    </row>
    <row r="6" spans="1:5">
      <c r="A6" s="24">
        <v>5</v>
      </c>
      <c r="B6" s="24">
        <v>60</v>
      </c>
      <c r="C6" s="24">
        <v>10</v>
      </c>
      <c r="D6" s="24">
        <v>2</v>
      </c>
      <c r="E6" s="24" t="s">
        <v>63</v>
      </c>
    </row>
    <row r="7" spans="1:5">
      <c r="A7" s="42">
        <v>6</v>
      </c>
      <c r="B7" s="42">
        <v>92</v>
      </c>
      <c r="C7" s="42">
        <v>18</v>
      </c>
      <c r="D7" s="42">
        <v>5</v>
      </c>
      <c r="E7" s="42" t="s">
        <v>12</v>
      </c>
    </row>
    <row r="8" spans="1:5">
      <c r="A8" s="24">
        <v>7</v>
      </c>
      <c r="B8" s="24">
        <v>48</v>
      </c>
      <c r="C8" s="24">
        <v>6</v>
      </c>
      <c r="D8" s="24">
        <v>0</v>
      </c>
      <c r="E8" s="24" t="s">
        <v>63</v>
      </c>
    </row>
    <row r="9" spans="1:5">
      <c r="A9" s="42">
        <v>8</v>
      </c>
      <c r="B9" s="42">
        <v>70</v>
      </c>
      <c r="C9" s="42">
        <v>11</v>
      </c>
      <c r="D9" s="42">
        <v>3</v>
      </c>
      <c r="E9" s="42" t="s">
        <v>12</v>
      </c>
    </row>
    <row r="10" spans="1:5">
      <c r="A10" s="24">
        <v>9</v>
      </c>
      <c r="B10" s="24">
        <v>55</v>
      </c>
      <c r="C10" s="24">
        <v>7</v>
      </c>
      <c r="D10" s="24">
        <v>1</v>
      </c>
      <c r="E10" s="24" t="s">
        <v>63</v>
      </c>
    </row>
    <row r="11" spans="1:5">
      <c r="A11" s="42">
        <v>10</v>
      </c>
      <c r="B11" s="42">
        <v>88</v>
      </c>
      <c r="C11" s="42">
        <v>14</v>
      </c>
      <c r="D11" s="42">
        <v>4</v>
      </c>
      <c r="E11" s="42" t="s">
        <v>12</v>
      </c>
    </row>
    <row r="13" spans="1:5" ht="15" thickBot="1"/>
    <row r="14" spans="1:5">
      <c r="A14" s="10" t="s">
        <v>110</v>
      </c>
      <c r="B14" s="26"/>
      <c r="C14" s="43" t="s">
        <v>111</v>
      </c>
      <c r="D14" s="26"/>
      <c r="E14" s="11"/>
    </row>
    <row r="15" spans="1:5">
      <c r="A15" s="12"/>
      <c r="E15" s="13"/>
    </row>
    <row r="16" spans="1:5" ht="15" thickBot="1">
      <c r="A16" s="12"/>
      <c r="B16" s="4" t="s">
        <v>95</v>
      </c>
      <c r="D16" t="s">
        <v>96</v>
      </c>
      <c r="E16" s="13"/>
    </row>
    <row r="17" spans="1:5" ht="15" thickBot="1">
      <c r="A17" s="12"/>
      <c r="B17" s="46" t="s">
        <v>98</v>
      </c>
      <c r="D17" s="45" t="s">
        <v>99</v>
      </c>
      <c r="E17" s="13"/>
    </row>
    <row r="18" spans="1:5" ht="15" thickBot="1">
      <c r="A18" s="12"/>
      <c r="B18" s="48" t="s">
        <v>119</v>
      </c>
      <c r="D18" s="44" t="s">
        <v>112</v>
      </c>
      <c r="E18" s="13"/>
    </row>
    <row r="19" spans="1:5" ht="15" thickBot="1">
      <c r="A19" s="12"/>
      <c r="B19" s="47" t="s">
        <v>120</v>
      </c>
      <c r="D19" s="47" t="s">
        <v>120</v>
      </c>
      <c r="E19" s="13"/>
    </row>
    <row r="20" spans="1:5" ht="15" thickBot="1">
      <c r="A20" s="12"/>
      <c r="B20" s="2" t="s">
        <v>118</v>
      </c>
      <c r="D20" s="2" t="s">
        <v>113</v>
      </c>
      <c r="E20" s="13"/>
    </row>
    <row r="21" spans="1:5" ht="15" thickBot="1">
      <c r="A21" s="12"/>
      <c r="B21" s="47" t="s">
        <v>117</v>
      </c>
      <c r="D21" s="47" t="s">
        <v>114</v>
      </c>
      <c r="E21" s="13"/>
    </row>
    <row r="22" spans="1:5">
      <c r="A22" s="12"/>
      <c r="B22" s="48" t="s">
        <v>116</v>
      </c>
      <c r="D22" s="44" t="s">
        <v>115</v>
      </c>
      <c r="E22" s="13"/>
    </row>
    <row r="23" spans="1:5">
      <c r="A23" s="12"/>
      <c r="E23" s="13"/>
    </row>
    <row r="24" spans="1:5" ht="15" thickBot="1">
      <c r="A24" s="14"/>
      <c r="B24" s="27"/>
      <c r="C24" s="27"/>
      <c r="D24" s="27"/>
      <c r="E24" s="15"/>
    </row>
    <row r="26" spans="1:5" ht="15" thickBot="1"/>
    <row r="27" spans="1:5" ht="15" thickBot="1">
      <c r="A27" s="10" t="s">
        <v>121</v>
      </c>
      <c r="B27" s="26"/>
      <c r="C27" s="26"/>
      <c r="D27" s="26"/>
      <c r="E27" s="11"/>
    </row>
    <row r="28" spans="1:5" ht="15" thickBot="1">
      <c r="A28" s="12"/>
      <c r="C28" s="29" t="s">
        <v>123</v>
      </c>
      <c r="E28" s="13"/>
    </row>
    <row r="29" spans="1:5">
      <c r="A29" s="12"/>
      <c r="E29" s="13"/>
    </row>
    <row r="30" spans="1:5" ht="15" thickBot="1">
      <c r="A30" s="12"/>
      <c r="B30" s="4" t="s">
        <v>122</v>
      </c>
      <c r="D30" t="s">
        <v>96</v>
      </c>
      <c r="E30" s="13"/>
    </row>
    <row r="31" spans="1:5" ht="15" thickBot="1">
      <c r="A31" s="12"/>
      <c r="B31" s="47" t="s">
        <v>125</v>
      </c>
      <c r="D31" s="45" t="s">
        <v>124</v>
      </c>
      <c r="E31" s="13"/>
    </row>
    <row r="32" spans="1:5" ht="15" thickBot="1">
      <c r="A32" s="12"/>
      <c r="B32" s="49" t="s">
        <v>129</v>
      </c>
      <c r="D32" s="44" t="s">
        <v>128</v>
      </c>
    </row>
    <row r="33" spans="1:5" ht="15" thickBot="1">
      <c r="A33" s="12"/>
      <c r="D33" s="47" t="s">
        <v>130</v>
      </c>
      <c r="E33" s="13"/>
    </row>
    <row r="34" spans="1:5" ht="15" thickBot="1">
      <c r="A34" s="12"/>
      <c r="D34" s="2" t="s">
        <v>126</v>
      </c>
      <c r="E34" s="13"/>
    </row>
    <row r="35" spans="1:5" ht="15" thickBot="1">
      <c r="A35" s="12"/>
      <c r="D35" s="29" t="s">
        <v>127</v>
      </c>
      <c r="E35" s="13"/>
    </row>
    <row r="36" spans="1:5">
      <c r="A36" s="12"/>
      <c r="D36" t="s">
        <v>131</v>
      </c>
      <c r="E36" s="13"/>
    </row>
    <row r="37" spans="1:5">
      <c r="A37" s="12"/>
      <c r="E37" s="13"/>
    </row>
    <row r="38" spans="1:5" ht="15" thickBot="1">
      <c r="A38" s="14"/>
      <c r="B38" s="27"/>
      <c r="C38" s="27"/>
      <c r="D38" s="27"/>
      <c r="E38" s="15"/>
    </row>
    <row r="40" spans="1:5" ht="15" thickBot="1"/>
    <row r="41" spans="1:5">
      <c r="A41" s="10" t="s">
        <v>140</v>
      </c>
      <c r="B41" s="26"/>
      <c r="C41" s="26"/>
      <c r="D41" s="26"/>
      <c r="E41" s="11"/>
    </row>
    <row r="42" spans="1:5" ht="15" thickBot="1">
      <c r="A42" s="12"/>
      <c r="E42" s="13"/>
    </row>
    <row r="43" spans="1:5" ht="15" thickBot="1">
      <c r="A43" s="12"/>
      <c r="C43" s="29" t="s">
        <v>139</v>
      </c>
      <c r="E43" s="13"/>
    </row>
    <row r="44" spans="1:5" ht="15" thickBot="1">
      <c r="A44" s="12"/>
      <c r="C44" s="2" t="s">
        <v>132</v>
      </c>
      <c r="E44" s="13"/>
    </row>
    <row r="45" spans="1:5" ht="15" thickBot="1">
      <c r="A45" s="12"/>
      <c r="B45" s="47" t="s">
        <v>98</v>
      </c>
      <c r="D45" s="29" t="s">
        <v>124</v>
      </c>
      <c r="E45" s="13"/>
    </row>
    <row r="46" spans="1:5" ht="15" thickBot="1">
      <c r="A46" s="12"/>
      <c r="B46" s="50" t="s">
        <v>133</v>
      </c>
      <c r="D46" s="29" t="s">
        <v>136</v>
      </c>
      <c r="E46" s="13"/>
    </row>
    <row r="47" spans="1:5" ht="15" thickBot="1">
      <c r="A47" s="12"/>
      <c r="D47" t="s">
        <v>134</v>
      </c>
      <c r="E47" s="13"/>
    </row>
    <row r="48" spans="1:5" ht="15" thickBot="1">
      <c r="A48" s="12"/>
      <c r="C48" s="47" t="s">
        <v>137</v>
      </c>
      <c r="D48" s="47" t="s">
        <v>99</v>
      </c>
      <c r="E48" s="13"/>
    </row>
    <row r="49" spans="1:5">
      <c r="A49" s="12"/>
      <c r="C49" s="32" t="s">
        <v>138</v>
      </c>
      <c r="D49" s="44" t="s">
        <v>128</v>
      </c>
      <c r="E49" s="13"/>
    </row>
    <row r="50" spans="1:5">
      <c r="A50" s="12"/>
      <c r="C50" t="s">
        <v>135</v>
      </c>
      <c r="E50" s="13"/>
    </row>
    <row r="51" spans="1:5">
      <c r="A51" s="12"/>
      <c r="E51" s="13"/>
    </row>
    <row r="52" spans="1:5" ht="15" thickBot="1">
      <c r="A52" s="14"/>
      <c r="B52" s="27"/>
      <c r="C52" s="27"/>
      <c r="D52" s="27"/>
      <c r="E52" s="1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B2FA1-F0C0-4945-A633-D67A19773C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6</vt:i4>
      </vt:variant>
    </vt:vector>
  </HeadingPairs>
  <TitlesOfParts>
    <vt:vector size="6" baseType="lpstr">
      <vt:lpstr>Linear Regression </vt:lpstr>
      <vt:lpstr>1.1 Linear Regression </vt:lpstr>
      <vt:lpstr>1.2 Logistic Regression </vt:lpstr>
      <vt:lpstr>1.3 Decision Trees </vt:lpstr>
      <vt:lpstr>1.3</vt:lpstr>
      <vt:lpstr>1.4 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Sandegård (student syh)</dc:creator>
  <cp:lastModifiedBy>Paul Sandegård</cp:lastModifiedBy>
  <dcterms:created xsi:type="dcterms:W3CDTF">2025-11-12T05:40:37Z</dcterms:created>
  <dcterms:modified xsi:type="dcterms:W3CDTF">2025-11-27T12:01:17Z</dcterms:modified>
</cp:coreProperties>
</file>