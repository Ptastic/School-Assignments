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37ca1d763939bf/Skrivbord/Final Assigment/"/>
    </mc:Choice>
  </mc:AlternateContent>
  <xr:revisionPtr revIDLastSave="0" documentId="8_{A5D37230-F1C3-4FF3-B0A1-A932310C2F92}" xr6:coauthVersionLast="47" xr6:coauthVersionMax="47" xr10:uidLastSave="{00000000-0000-0000-0000-000000000000}"/>
  <bookViews>
    <workbookView xWindow="-103" yWindow="-103" windowWidth="25440" windowHeight="15257" xr2:uid="{15A51E5D-86DE-4D43-8A04-6E8260BED90C}"/>
  </bookViews>
  <sheets>
    <sheet name="Question 2" sheetId="4" r:id="rId1"/>
    <sheet name="Question 3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2" i="2" s="1"/>
  <c r="F3" i="2"/>
  <c r="F4" i="2"/>
  <c r="F5" i="2"/>
  <c r="F6" i="2"/>
  <c r="F7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E3" i="2"/>
  <c r="E4" i="2"/>
  <c r="E5" i="2"/>
  <c r="E6" i="2"/>
  <c r="E7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<sst xmlns="http://schemas.openxmlformats.org/spreadsheetml/2006/main" count="73" uniqueCount="42">
  <si>
    <t>P1</t>
  </si>
  <si>
    <t>P2</t>
  </si>
  <si>
    <t>P3</t>
  </si>
  <si>
    <t>P4</t>
  </si>
  <si>
    <t>P5</t>
  </si>
  <si>
    <t>P6</t>
  </si>
  <si>
    <t>Bean No.</t>
  </si>
  <si>
    <t>Aroma Score (X)</t>
  </si>
  <si>
    <t>Acidity Level (Y)</t>
  </si>
  <si>
    <t>Y</t>
  </si>
  <si>
    <t>Assignment Iter 1</t>
  </si>
  <si>
    <t>Assignment Iter 2</t>
  </si>
  <si>
    <t>Dist CB (9,1)</t>
  </si>
  <si>
    <t>Dist CA (1,9)</t>
  </si>
  <si>
    <t>Dist  CA (1.5,8.5)</t>
  </si>
  <si>
    <t>Dist  CB (7.5,3.0)</t>
  </si>
  <si>
    <t>Project No.</t>
  </si>
  <si>
    <t>Team Size</t>
  </si>
  <si>
    <t>QA Coverage (%)</t>
  </si>
  <si>
    <t>Schedule (Days)</t>
  </si>
  <si>
    <t>Tech Stack (Old/New)</t>
  </si>
  <si>
    <t>Success? (Y/N)</t>
  </si>
  <si>
    <t>New</t>
  </si>
  <si>
    <t>Old</t>
  </si>
  <si>
    <t>N</t>
  </si>
  <si>
    <t>&lt;-5</t>
  </si>
  <si>
    <t>/</t>
  </si>
  <si>
    <t>\</t>
  </si>
  <si>
    <t>2/10 Yes</t>
  </si>
  <si>
    <t xml:space="preserve">QA Coverage(%) </t>
  </si>
  <si>
    <t>80-&gt;</t>
  </si>
  <si>
    <t>8/10,</t>
  </si>
  <si>
    <t>6/8,</t>
  </si>
  <si>
    <t>2/8 Yes</t>
  </si>
  <si>
    <t>Tech Stack(old/new)</t>
  </si>
  <si>
    <t>new</t>
  </si>
  <si>
    <t>1/6 Yes</t>
  </si>
  <si>
    <t>5/6,</t>
  </si>
  <si>
    <t>Schedule (days)</t>
  </si>
  <si>
    <t>&lt;-150</t>
  </si>
  <si>
    <t>1/5 Yes</t>
  </si>
  <si>
    <t>4/5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</si>
</sst>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el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 applyAlignment="1">
      <alignment horizontal="left" vertical="center" wrapText="1" indent="1" readingOrder="1"/>
    </xf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5" xfId="0" applyFont="1" applyFill="1" applyBorder="1" applyAlignment="1">
      <alignment horizontal="left" vertical="center" wrapText="1" indent="1" readingOrder="1"/>
    </xf>
    <xf numFmtId="0" fontId="2" fillId="3" borderId="4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5" xfId="0" applyFont="1" applyFill="1" applyBorder="1" applyAlignment="1">
      <alignment horizontal="left" vertical="center" wrapText="1" indent="1" readingOrder="1"/>
    </xf>
    <xf numFmtId="0" fontId="2" fillId="3" borderId="9" xfId="0" applyFont="1" applyFill="1" applyBorder="1" applyAlignment="1">
      <alignment horizontal="left" vertical="center" wrapText="1" indent="1" readingOrder="1"/>
    </xf>
    <xf numFmtId="0" fontId="2" fillId="3" borderId="3" xfId="0" applyFont="1" applyFill="1" applyBorder="1" applyAlignment="1">
      <alignment horizontal="left" vertical="center" wrapText="1" indent="1" readingOrder="1"/>
    </xf>
    <xf numFmtId="0" fontId="2" fillId="3" borderId="10" xfId="0" applyFont="1" applyFill="1" applyBorder="1" applyAlignment="1">
      <alignment horizontal="left" vertical="center" wrapText="1" indent="1" readingOrder="1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1" xfId="0" applyBorder="1" applyAlignment="1">
      <alignment horizontal="center"/>
    </xf>
    <xf numFmtId="16" fontId="0" fillId="0" borderId="11" xfId="0" applyNumberFormat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Bean Number Aroma Score Acidity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3.'!$B$1</c:f>
              <c:strCache>
                <c:ptCount val="1"/>
                <c:pt idx="0">
                  <c:v>Aroma Score (X)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'Question 3.'!$A$2:$A$7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xVal>
          <c:yVal>
            <c:numRef>
              <c:f>'Question 3.'!$B$2:$B$7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CE-4689-A193-30FDE0B1E35D}"/>
            </c:ext>
          </c:extLst>
        </c:ser>
        <c:ser>
          <c:idx val="1"/>
          <c:order val="1"/>
          <c:tx>
            <c:strRef>
              <c:f>'Question 3.'!$C$1</c:f>
              <c:strCache>
                <c:ptCount val="1"/>
                <c:pt idx="0">
                  <c:v>Acidity Level (Y)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'Question 3.'!$A$2:$A$7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xVal>
          <c:yVal>
            <c:numRef>
              <c:f>'Question 3.'!$C$2:$C$7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CE-4689-A193-30FDE0B1E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341599"/>
        <c:axId val="341346399"/>
      </c:scatterChart>
      <c:valAx>
        <c:axId val="34134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41346399"/>
        <c:crosses val="autoZero"/>
        <c:crossBetween val="midCat"/>
      </c:valAx>
      <c:valAx>
        <c:axId val="3413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4134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CA (1.5,8.5),CB (7.5,3.0)</a:t>
            </a:r>
          </a:p>
        </c:rich>
      </c:tx>
      <c:layout>
        <c:manualLayout>
          <c:xMode val="edge"/>
          <c:yMode val="edge"/>
          <c:x val="0.3813136289833475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'Question 3.'!$G$1</c:f>
              <c:strCache>
                <c:ptCount val="1"/>
                <c:pt idx="0">
                  <c:v>Dist  CA (1.5,8.5)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'Question 3.'!$A$2:$A$7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xVal>
          <c:yVal>
            <c:numRef>
              <c:f>'Question 3.'!$G$2:$G$7</c:f>
              <c:numCache>
                <c:formatCode>General</c:formatCode>
                <c:ptCount val="6"/>
                <c:pt idx="0">
                  <c:v>0.70710678118654757</c:v>
                </c:pt>
                <c:pt idx="1">
                  <c:v>0.70710678118654757</c:v>
                </c:pt>
                <c:pt idx="2">
                  <c:v>6.3639610306789276</c:v>
                </c:pt>
                <c:pt idx="3">
                  <c:v>6.5192024052026492</c:v>
                </c:pt>
                <c:pt idx="4">
                  <c:v>9.1923881554251174</c:v>
                </c:pt>
                <c:pt idx="5">
                  <c:v>10.606601717798213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9C-4DAE-9143-2BD7CEC73A2C}"/>
            </c:ext>
          </c:extLst>
        </c:ser>
        <c:ser>
          <c:idx val="1"/>
          <c:order val="1"/>
          <c:tx>
            <c:strRef>
              <c:f>'Question 3.'!$H$1</c:f>
              <c:strCache>
                <c:ptCount val="1"/>
                <c:pt idx="0">
                  <c:v>Dist  CB (7.5,3.0)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'Question 3.'!$A$2:$A$7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xVal>
          <c:yVal>
            <c:numRef>
              <c:f>'Question 3.'!$H$2:$H$7</c:f>
              <c:numCache>
                <c:formatCode>General</c:formatCode>
                <c:ptCount val="6"/>
                <c:pt idx="0">
                  <c:v>8.8459030064770658</c:v>
                </c:pt>
                <c:pt idx="1">
                  <c:v>7.433034373659253</c:v>
                </c:pt>
                <c:pt idx="2">
                  <c:v>1.8027756377319946</c:v>
                </c:pt>
                <c:pt idx="3">
                  <c:v>2.0615528128088303</c:v>
                </c:pt>
                <c:pt idx="4">
                  <c:v>1.1180339887498949</c:v>
                </c:pt>
                <c:pt idx="5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9C-4DAE-9143-2BD7CEC7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95631"/>
        <c:axId val="1127296111"/>
      </c:scatterChart>
      <c:valAx>
        <c:axId val="112729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27296111"/>
        <c:crosses val="autoZero"/>
        <c:crossBetween val="midCat"/>
      </c:valAx>
      <c:valAx>
        <c:axId val="112729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2729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Bean, CA (1,9) CB (9,1), </a:t>
            </a:r>
          </a:p>
        </c:rich>
      </c:tx>
      <c:layout>
        <c:manualLayout>
          <c:xMode val="edge"/>
          <c:yMode val="edge"/>
          <c:x val="0.3058401137357830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3.'!$E$1</c:f>
              <c:strCache>
                <c:ptCount val="1"/>
                <c:pt idx="0">
                  <c:v>Dist CB (9,1)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CAF-4DBF-ACDF-1216C18E44F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CAF-4DBF-ACDF-1216C18E44FB}"/>
              </c:ext>
            </c:extLst>
          </c:dPt>
          <c:xVal>
            <c:numRef>
              <c:f>'Question 3.'!$D$2:$D$7</c:f>
              <c:numCache>
                <c:formatCode>General</c:formatCode>
                <c:ptCount val="6"/>
                <c:pt idx="0">
                  <c:v>0</c:v>
                </c:pt>
                <c:pt idx="1">
                  <c:v>1.4142135623730951</c:v>
                </c:pt>
                <c:pt idx="2">
                  <c:v>7.0710678118654755</c:v>
                </c:pt>
                <c:pt idx="3">
                  <c:v>7.2111025509279782</c:v>
                </c:pt>
                <c:pt idx="4">
                  <c:v>9.8994949366116654</c:v>
                </c:pt>
                <c:pt idx="5">
                  <c:v>11.313708498984761</c:v>
                </c:pt>
              </c:numCache>
            </c:numRef>
          </c:xVal>
          <c:yVal>
            <c:numRef>
              <c:f>'Question 3.'!$E$2:$E$7</c:f>
              <c:numCache>
                <c:formatCode>General</c:formatCode>
                <c:ptCount val="6"/>
                <c:pt idx="0">
                  <c:v>11.313708498984761</c:v>
                </c:pt>
                <c:pt idx="1">
                  <c:v>9.8994949366116654</c:v>
                </c:pt>
                <c:pt idx="2">
                  <c:v>4.2426406871192848</c:v>
                </c:pt>
                <c:pt idx="3">
                  <c:v>4.4721359549995796</c:v>
                </c:pt>
                <c:pt idx="4">
                  <c:v>1.4142135623730951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F-4DBF-ACDF-1216C18E4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92879"/>
        <c:axId val="586992399"/>
      </c:scatterChart>
      <c:valAx>
        <c:axId val="58699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X Acidity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6992399"/>
        <c:crosses val="autoZero"/>
        <c:crossBetween val="midCat"/>
      </c:valAx>
      <c:valAx>
        <c:axId val="5869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Y</a:t>
                </a:r>
                <a:r>
                  <a:rPr lang="sv-SE" baseline="0"/>
                  <a:t> Aroma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699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</a:t>
            </a:r>
            <a:r>
              <a:rPr lang="en-US" baseline="0"/>
              <a:t> (1.5,8.5), CB (7.5,3.0)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3.'!$H$1</c:f>
              <c:strCache>
                <c:ptCount val="1"/>
                <c:pt idx="0">
                  <c:v>Dist  CB (7.5,3.0)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70-4910-919C-F6DCE47A82F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270-4910-919C-F6DCE47A82F1}"/>
              </c:ext>
            </c:extLst>
          </c:dPt>
          <c:xVal>
            <c:numRef>
              <c:f>'Question 3.'!$G$2:$G$7</c:f>
              <c:numCache>
                <c:formatCode>General</c:formatCode>
                <c:ptCount val="6"/>
                <c:pt idx="0">
                  <c:v>0.70710678118654757</c:v>
                </c:pt>
                <c:pt idx="1">
                  <c:v>0.70710678118654757</c:v>
                </c:pt>
                <c:pt idx="2">
                  <c:v>6.3639610306789276</c:v>
                </c:pt>
                <c:pt idx="3">
                  <c:v>6.5192024052026492</c:v>
                </c:pt>
                <c:pt idx="4">
                  <c:v>9.1923881554251174</c:v>
                </c:pt>
                <c:pt idx="5">
                  <c:v>10.606601717798213</c:v>
                </c:pt>
              </c:numCache>
            </c:numRef>
          </c:xVal>
          <c:yVal>
            <c:numRef>
              <c:f>'Question 3.'!$H$2:$H$7</c:f>
              <c:numCache>
                <c:formatCode>General</c:formatCode>
                <c:ptCount val="6"/>
                <c:pt idx="0">
                  <c:v>8.8459030064770658</c:v>
                </c:pt>
                <c:pt idx="1">
                  <c:v>7.433034373659253</c:v>
                </c:pt>
                <c:pt idx="2">
                  <c:v>1.8027756377319946</c:v>
                </c:pt>
                <c:pt idx="3">
                  <c:v>2.0615528128088303</c:v>
                </c:pt>
                <c:pt idx="4">
                  <c:v>1.1180339887498949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910-919C-F6DCE47A8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35791"/>
        <c:axId val="1130436751"/>
      </c:scatterChart>
      <c:valAx>
        <c:axId val="113043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30436751"/>
        <c:crosses val="autoZero"/>
        <c:crossBetween val="midCat"/>
      </c:valAx>
      <c:valAx>
        <c:axId val="113043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13043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391885</xdr:colOff>
      <xdr:row>29</xdr:row>
      <xdr:rowOff>8164</xdr:rowOff>
    </xdr:from>
    <xdr:to>
      <xdr:col>5</xdr:col>
      <xdr:colOff>892628</xdr:colOff>
      <xdr:row>43</xdr:row>
      <xdr:rowOff>160564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221B3D8-2164-9C7C-FFC7-D6901490F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5444</xdr:colOff>
      <xdr:row>29</xdr:row>
      <xdr:rowOff>19051</xdr:rowOff>
    </xdr:from>
    <xdr:to>
      <xdr:col>10</xdr:col>
      <xdr:colOff>843644</xdr:colOff>
      <xdr:row>43</xdr:row>
      <xdr:rowOff>171451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F87C5BDB-ADD3-E75F-9FBF-83DB98B14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5</xdr:col>
      <xdr:colOff>957943</xdr:colOff>
      <xdr:row>26</xdr:row>
      <xdr:rowOff>87086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7F398FE4-344A-1F57-DF9E-C377BDD5B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1224643</xdr:colOff>
      <xdr:row>10</xdr:row>
      <xdr:rowOff>174172</xdr:rowOff>
    </xdr:from>
    <xdr:to>
      <xdr:col>10</xdr:col>
      <xdr:colOff>1050472</xdr:colOff>
      <xdr:row>26</xdr:row>
      <xdr:rowOff>92529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46D90480-A846-F499-4545-C6FDB4AE9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179614</xdr:colOff>
      <xdr:row>20</xdr:row>
      <xdr:rowOff>146956</xdr:rowOff>
    </xdr:from>
    <xdr:to>
      <xdr:col>9</xdr:col>
      <xdr:colOff>582386</xdr:colOff>
      <xdr:row>22</xdr:row>
      <xdr:rowOff>87085</xdr:rowOff>
    </xdr:to>
    <xdr:sp macro="" textlink="">
      <xdr:nvSpPr>
        <xdr:cNvPr id="11" name="Ellips 10">
          <a:extLst>
            <a:ext uri="{FF2B5EF4-FFF2-40B4-BE49-F238E27FC236}">
              <a16:creationId xmlns:a16="http://schemas.microsoft.com/office/drawing/2014/main" id="{461BEA6B-F69D-3512-257D-AA97AEA5A39A}"/>
            </a:ext>
          </a:extLst>
        </xdr:cNvPr>
        <xdr:cNvSpPr/>
      </xdr:nvSpPr>
      <xdr:spPr>
        <a:xfrm>
          <a:off x="8175171" y="4283527"/>
          <a:ext cx="402772" cy="310244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sv-S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</a:t>
          </a:r>
        </a:p>
      </xdr:txBody>
    </xdr:sp>
    <xdr:clientData/>
  </xdr:twoCellAnchor>
  <xdr:twoCellAnchor>
    <xdr:from>
      <xdr:col>4</xdr:col>
      <xdr:colOff>451758</xdr:colOff>
      <xdr:row>21</xdr:row>
      <xdr:rowOff>92528</xdr:rowOff>
    </xdr:from>
    <xdr:to>
      <xdr:col>4</xdr:col>
      <xdr:colOff>854530</xdr:colOff>
      <xdr:row>23</xdr:row>
      <xdr:rowOff>32658</xdr:rowOff>
    </xdr:to>
    <xdr:sp macro="" textlink="">
      <xdr:nvSpPr>
        <xdr:cNvPr id="12" name="Ellips 11">
          <a:extLst>
            <a:ext uri="{FF2B5EF4-FFF2-40B4-BE49-F238E27FC236}">
              <a16:creationId xmlns:a16="http://schemas.microsoft.com/office/drawing/2014/main" id="{602B8201-09FE-485A-B34E-7C5B5DB01C09}"/>
            </a:ext>
          </a:extLst>
        </xdr:cNvPr>
        <xdr:cNvSpPr/>
      </xdr:nvSpPr>
      <xdr:spPr>
        <a:xfrm>
          <a:off x="3559629" y="4414157"/>
          <a:ext cx="402772" cy="310244"/>
        </a:xfrm>
        <a:prstGeom prst="ellipse">
          <a:avLst/>
        </a:prstGeom>
        <a:ln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sv-S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</a:t>
          </a:r>
        </a:p>
      </xdr:txBody>
    </xdr:sp>
    <xdr:clientData/>
  </xdr:twoCellAnchor>
  <xdr:twoCellAnchor>
    <xdr:from>
      <xdr:col>6</xdr:col>
      <xdr:colOff>125187</xdr:colOff>
      <xdr:row>14</xdr:row>
      <xdr:rowOff>130626</xdr:rowOff>
    </xdr:from>
    <xdr:to>
      <xdr:col>6</xdr:col>
      <xdr:colOff>527959</xdr:colOff>
      <xdr:row>16</xdr:row>
      <xdr:rowOff>70756</xdr:rowOff>
    </xdr:to>
    <xdr:sp macro="" textlink="">
      <xdr:nvSpPr>
        <xdr:cNvPr id="13" name="Ellips 12">
          <a:extLst>
            <a:ext uri="{FF2B5EF4-FFF2-40B4-BE49-F238E27FC236}">
              <a16:creationId xmlns:a16="http://schemas.microsoft.com/office/drawing/2014/main" id="{AC390C6C-FFD2-4F61-8C46-18B1D48D454C}"/>
            </a:ext>
          </a:extLst>
        </xdr:cNvPr>
        <xdr:cNvSpPr/>
      </xdr:nvSpPr>
      <xdr:spPr>
        <a:xfrm>
          <a:off x="5480958" y="3156855"/>
          <a:ext cx="402772" cy="310244"/>
        </a:xfrm>
        <a:prstGeom prst="ellipse">
          <a:avLst/>
        </a:prstGeom>
        <a:ln>
          <a:solidFill>
            <a:schemeClr val="accent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sv-S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</a:t>
          </a:r>
        </a:p>
      </xdr:txBody>
    </xdr:sp>
    <xdr:clientData/>
  </xdr:twoCellAnchor>
  <xdr:twoCellAnchor>
    <xdr:from>
      <xdr:col>1</xdr:col>
      <xdr:colOff>65315</xdr:colOff>
      <xdr:row>15</xdr:row>
      <xdr:rowOff>27211</xdr:rowOff>
    </xdr:from>
    <xdr:to>
      <xdr:col>1</xdr:col>
      <xdr:colOff>468087</xdr:colOff>
      <xdr:row>16</xdr:row>
      <xdr:rowOff>152398</xdr:rowOff>
    </xdr:to>
    <xdr:sp macro="" textlink="">
      <xdr:nvSpPr>
        <xdr:cNvPr id="14" name="Ellips 13">
          <a:extLst>
            <a:ext uri="{FF2B5EF4-FFF2-40B4-BE49-F238E27FC236}">
              <a16:creationId xmlns:a16="http://schemas.microsoft.com/office/drawing/2014/main" id="{4CDCBF7C-6683-4742-9BA9-CB8C679BEF6F}"/>
            </a:ext>
          </a:extLst>
        </xdr:cNvPr>
        <xdr:cNvSpPr/>
      </xdr:nvSpPr>
      <xdr:spPr>
        <a:xfrm>
          <a:off x="718458" y="3238497"/>
          <a:ext cx="402772" cy="310244"/>
        </a:xfrm>
        <a:prstGeom prst="ellipse">
          <a:avLst/>
        </a:prstGeom>
        <a:ln>
          <a:solidFill>
            <a:schemeClr val="accent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sv-SE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</a:t>
          </a:r>
        </a:p>
      </xdr:txBody>
    </xdr:sp>
    <xdr:clientData/>
  </xdr:twoCellAnchor>
  <xdr:twoCellAnchor editAs="oneCell">
    <xdr:from>
      <xdr:col>3</xdr:col>
      <xdr:colOff>32658</xdr:colOff>
      <xdr:row>7</xdr:row>
      <xdr:rowOff>125185</xdr:rowOff>
    </xdr:from>
    <xdr:to>
      <xdr:col>5</xdr:col>
      <xdr:colOff>695995</xdr:colOff>
      <xdr:row>10</xdr:row>
      <xdr:rowOff>87085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3008BC29-9A2D-CD7D-70A5-F85700A3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2087" y="1856014"/>
          <a:ext cx="2775165" cy="51707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7DFDF-6121-41A2-A70C-52BCCFB2A355}" name="Tabell1" displayName="Tabell1" ref="A1:F11" totalsRowShown="0" headerRowDxfId="10" dataDxfId="8" headerRowBorderDxfId="9" tableBorderDxfId="7" totalsRowBorderDxfId="6">
  <autoFilter ref="A1:F11" xr:uid="{1FF7DFDF-6121-41A2-A70C-52BCCFB2A355}"/>
  <sortState xmlns:xlrd2="http://schemas.microsoft.com/office/spreadsheetml/2017/richdata2" ref="A2:F11">
    <sortCondition ref="B1:B11"/>
  </sortState>
  <tableColumns count="6">
    <tableColumn id="1" xr3:uid="{58AFDD07-109A-4C45-8550-78E894867167}" name="Project No." dataDxfId="5"/>
    <tableColumn id="2" xr3:uid="{1967DD84-165C-44B8-B9ED-315AFAC2715D}" name="Team Size" dataDxfId="4"/>
    <tableColumn id="3" xr3:uid="{2845DE22-55DC-4B1C-9D5D-93139F619DE4}" name="QA Coverage (%)" dataDxfId="3"/>
    <tableColumn id="4" xr3:uid="{9A5AF39C-AA70-48A4-B49E-0B97144DD2F2}" name="Schedule (Days)" dataDxfId="2"/>
    <tableColumn id="5" xr3:uid="{E633827A-13B1-4CE1-B2EF-0A5D0AD29936}" name="Tech Stack (Old/New)" dataDxfId="1"/>
    <tableColumn id="6" xr3:uid="{609A59C1-386C-4F5B-9DDF-61EA2F22C181}" name="Success? (Y/N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334B-FF23-4DF2-86CD-2ECEFC30EB50}">
  <dimension ref="A1:H36"/>
  <sheetViews>
    <sheetView tabSelected="1" workbookViewId="0">
      <selection activeCell="G17" sqref="G17"/>
    </sheetView>
  </sheetViews>
  <sheetFormatPr defaultRowHeight="14.6"/>
  <cols>
    <col min="1" max="1" width="15.23046875" customWidth="1"/>
    <col min="2" max="2" width="14.69140625" customWidth="1"/>
    <col min="3" max="3" width="21.3046875" customWidth="1"/>
    <col min="4" max="4" width="20.69140625" customWidth="1"/>
    <col min="5" max="5" width="26.15234375" customWidth="1"/>
    <col min="6" max="6" width="19.4609375" customWidth="1"/>
    <col min="7" max="8" width="13.3046875" customWidth="1"/>
  </cols>
  <sheetData>
    <row r="1" spans="1:6" ht="15.9" thickBo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10" t="s">
        <v>21</v>
      </c>
    </row>
    <row r="2" spans="1:6" ht="15.45" thickBot="1">
      <c r="A2" s="11">
        <v>1</v>
      </c>
      <c r="B2" s="12">
        <v>5</v>
      </c>
      <c r="C2" s="12">
        <v>95</v>
      </c>
      <c r="D2" s="12">
        <v>100</v>
      </c>
      <c r="E2" s="12" t="s">
        <v>22</v>
      </c>
      <c r="F2" s="13" t="s">
        <v>9</v>
      </c>
    </row>
    <row r="3" spans="1:6" ht="15.45" thickBot="1">
      <c r="A3" s="11">
        <v>9</v>
      </c>
      <c r="B3" s="12">
        <v>5</v>
      </c>
      <c r="C3" s="12">
        <v>98</v>
      </c>
      <c r="D3" s="12">
        <v>80</v>
      </c>
      <c r="E3" s="12" t="s">
        <v>22</v>
      </c>
      <c r="F3" s="13" t="s">
        <v>9</v>
      </c>
    </row>
    <row r="4" spans="1:6" ht="15.45" thickBot="1">
      <c r="A4" s="11">
        <v>5</v>
      </c>
      <c r="B4" s="12">
        <v>6</v>
      </c>
      <c r="C4" s="12">
        <v>90</v>
      </c>
      <c r="D4" s="12">
        <v>110</v>
      </c>
      <c r="E4" s="12" t="s">
        <v>22</v>
      </c>
      <c r="F4" s="13" t="s">
        <v>9</v>
      </c>
    </row>
    <row r="5" spans="1:6" ht="15.45" thickBot="1">
      <c r="A5" s="11">
        <v>3</v>
      </c>
      <c r="B5" s="12">
        <v>7</v>
      </c>
      <c r="C5" s="12">
        <v>85</v>
      </c>
      <c r="D5" s="12">
        <v>90</v>
      </c>
      <c r="E5" s="12" t="s">
        <v>22</v>
      </c>
      <c r="F5" s="13" t="s">
        <v>9</v>
      </c>
    </row>
    <row r="6" spans="1:6" ht="15.45" thickBot="1">
      <c r="A6" s="11">
        <v>7</v>
      </c>
      <c r="B6" s="12">
        <v>8</v>
      </c>
      <c r="C6" s="12">
        <v>80</v>
      </c>
      <c r="D6" s="12">
        <v>130</v>
      </c>
      <c r="E6" s="12" t="s">
        <v>22</v>
      </c>
      <c r="F6" s="13" t="s">
        <v>9</v>
      </c>
    </row>
    <row r="7" spans="1:6" ht="15.45" thickBot="1">
      <c r="A7" s="11">
        <v>6</v>
      </c>
      <c r="B7" s="12">
        <v>10</v>
      </c>
      <c r="C7" s="12">
        <v>75</v>
      </c>
      <c r="D7" s="12">
        <v>150</v>
      </c>
      <c r="E7" s="12" t="s">
        <v>23</v>
      </c>
      <c r="F7" s="13" t="s">
        <v>9</v>
      </c>
    </row>
    <row r="8" spans="1:6" ht="15.45" thickBot="1">
      <c r="A8" s="14">
        <v>10</v>
      </c>
      <c r="B8" s="15">
        <v>11</v>
      </c>
      <c r="C8" s="15">
        <v>65</v>
      </c>
      <c r="D8" s="15">
        <v>170</v>
      </c>
      <c r="E8" s="15" t="s">
        <v>23</v>
      </c>
      <c r="F8" s="16" t="s">
        <v>24</v>
      </c>
    </row>
    <row r="9" spans="1:6" ht="15.45" thickBot="1">
      <c r="A9" s="14">
        <v>2</v>
      </c>
      <c r="B9" s="15">
        <v>12</v>
      </c>
      <c r="C9" s="15">
        <v>70</v>
      </c>
      <c r="D9" s="15">
        <v>180</v>
      </c>
      <c r="E9" s="15" t="s">
        <v>23</v>
      </c>
      <c r="F9" s="16" t="s">
        <v>24</v>
      </c>
    </row>
    <row r="10" spans="1:6" ht="15.45" thickBot="1">
      <c r="A10" s="14">
        <v>8</v>
      </c>
      <c r="B10" s="15">
        <v>14</v>
      </c>
      <c r="C10" s="15">
        <v>50</v>
      </c>
      <c r="D10" s="15">
        <v>220</v>
      </c>
      <c r="E10" s="15" t="s">
        <v>23</v>
      </c>
      <c r="F10" s="16" t="s">
        <v>24</v>
      </c>
    </row>
    <row r="11" spans="1:6" ht="15">
      <c r="A11" s="17">
        <v>4</v>
      </c>
      <c r="B11" s="18">
        <v>15</v>
      </c>
      <c r="C11" s="18">
        <v>60</v>
      </c>
      <c r="D11" s="18">
        <v>200</v>
      </c>
      <c r="E11" s="18" t="s">
        <v>23</v>
      </c>
      <c r="F11" s="19" t="s">
        <v>24</v>
      </c>
    </row>
    <row r="17" spans="3:7">
      <c r="D17" s="22" t="s">
        <v>17</v>
      </c>
    </row>
    <row r="18" spans="3:7">
      <c r="D18" s="22" t="s">
        <v>25</v>
      </c>
    </row>
    <row r="19" spans="3:7">
      <c r="C19" s="23" t="s">
        <v>26</v>
      </c>
      <c r="E19" t="s">
        <v>27</v>
      </c>
    </row>
    <row r="20" spans="3:7" ht="15" thickBot="1">
      <c r="C20" s="21" t="s">
        <v>26</v>
      </c>
      <c r="E20" s="21" t="s">
        <v>27</v>
      </c>
    </row>
    <row r="21" spans="3:7" ht="15" thickBot="1">
      <c r="C21" s="24" t="s">
        <v>28</v>
      </c>
      <c r="E21" s="25" t="s">
        <v>31</v>
      </c>
    </row>
    <row r="22" spans="3:7">
      <c r="E22" s="22" t="s">
        <v>29</v>
      </c>
    </row>
    <row r="23" spans="3:7">
      <c r="E23" s="22" t="s">
        <v>30</v>
      </c>
    </row>
    <row r="24" spans="3:7">
      <c r="D24" s="23" t="s">
        <v>26</v>
      </c>
      <c r="F24" t="s">
        <v>27</v>
      </c>
    </row>
    <row r="25" spans="3:7" ht="15" thickBot="1">
      <c r="D25" s="21" t="s">
        <v>26</v>
      </c>
      <c r="F25" s="21" t="s">
        <v>27</v>
      </c>
    </row>
    <row r="26" spans="3:7" ht="15" thickBot="1">
      <c r="D26" s="24" t="s">
        <v>33</v>
      </c>
      <c r="F26" s="25" t="s">
        <v>32</v>
      </c>
    </row>
    <row r="27" spans="3:7">
      <c r="F27" s="20" t="s">
        <v>34</v>
      </c>
    </row>
    <row r="28" spans="3:7">
      <c r="F28" s="22" t="s">
        <v>35</v>
      </c>
    </row>
    <row r="29" spans="3:7">
      <c r="E29" s="23" t="s">
        <v>26</v>
      </c>
      <c r="G29" t="s">
        <v>27</v>
      </c>
    </row>
    <row r="30" spans="3:7" ht="15" thickBot="1">
      <c r="E30" s="21" t="s">
        <v>26</v>
      </c>
      <c r="G30" s="21" t="s">
        <v>27</v>
      </c>
    </row>
    <row r="31" spans="3:7" ht="15" thickBot="1">
      <c r="E31" s="24" t="s">
        <v>36</v>
      </c>
      <c r="G31" s="24" t="s">
        <v>37</v>
      </c>
    </row>
    <row r="32" spans="3:7">
      <c r="G32" s="20" t="s">
        <v>38</v>
      </c>
    </row>
    <row r="33" spans="6:8">
      <c r="G33" s="22" t="s">
        <v>39</v>
      </c>
    </row>
    <row r="34" spans="6:8">
      <c r="F34" s="23" t="s">
        <v>26</v>
      </c>
      <c r="H34" t="s">
        <v>27</v>
      </c>
    </row>
    <row r="35" spans="6:8" ht="15" thickBot="1">
      <c r="F35" s="21" t="s">
        <v>26</v>
      </c>
      <c r="H35" s="21" t="s">
        <v>27</v>
      </c>
    </row>
    <row r="36" spans="6:8" ht="15" thickBot="1">
      <c r="F36" s="24" t="s">
        <v>40</v>
      </c>
      <c r="H36" s="24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12A1-1733-431D-940B-418A039173B3}">
  <dimension ref="A1:K7"/>
  <sheetViews>
    <sheetView workbookViewId="0">
      <selection activeCell="K7" sqref="K7"/>
    </sheetView>
  </sheetViews>
  <sheetFormatPr defaultRowHeight="14.6"/>
  <cols>
    <col min="4" max="4" width="16.23046875" customWidth="1"/>
    <col min="5" max="5" width="13.61328125" customWidth="1"/>
    <col min="6" max="6" width="18.15234375" customWidth="1"/>
    <col min="7" max="7" width="12.4609375" customWidth="1"/>
    <col min="8" max="8" width="13.53515625" customWidth="1"/>
    <col min="9" max="9" width="11.3046875" customWidth="1"/>
    <col min="10" max="10" width="17.53515625" customWidth="1"/>
    <col min="11" max="11" width="16.53515625" customWidth="1"/>
  </cols>
  <sheetData>
    <row r="1" spans="1:11" ht="46.3">
      <c r="A1" s="4" t="s">
        <v>6</v>
      </c>
      <c r="B1" s="4" t="s">
        <v>7</v>
      </c>
      <c r="C1" s="4" t="s">
        <v>8</v>
      </c>
      <c r="D1" s="4" t="s">
        <v>13</v>
      </c>
      <c r="E1" s="4" t="s">
        <v>12</v>
      </c>
      <c r="F1" s="6" t="s">
        <v>10</v>
      </c>
      <c r="G1" s="7" t="s">
        <v>14</v>
      </c>
      <c r="H1" s="4" t="s">
        <v>15</v>
      </c>
      <c r="I1" s="4" t="s">
        <v>11</v>
      </c>
      <c r="J1" s="5"/>
      <c r="K1" s="5"/>
    </row>
    <row r="2" spans="1:11" ht="15">
      <c r="A2" s="1" t="s">
        <v>0</v>
      </c>
      <c r="B2" s="1">
        <v>1</v>
      </c>
      <c r="C2" s="1">
        <v>9</v>
      </c>
      <c r="D2" s="2">
        <f>SQRT((B2-1)^2+(C2-9)^2)</f>
        <v>0</v>
      </c>
      <c r="E2" s="2">
        <f>SQRT((B2-9)^2+(C2-1)^2)</f>
        <v>11.313708498984761</v>
      </c>
      <c r="F2" s="3" t="str">
        <f>IF(D2&lt;E2,"A","B")</f>
        <v>A</v>
      </c>
      <c r="G2" s="2">
        <f>SQRT((B2-1.5)^2+(C2-8.5)^2)</f>
        <v>0.70710678118654757</v>
      </c>
      <c r="H2" s="2">
        <f>SQRT((B2-7.5)^2+(C2-3)^2)</f>
        <v>8.8459030064770658</v>
      </c>
      <c r="I2" s="3" t="str">
        <f>IF(G2&lt;H2,"A","B")</f>
        <v>A</v>
      </c>
    </row>
    <row r="3" spans="1:11" ht="15">
      <c r="A3" s="1" t="s">
        <v>1</v>
      </c>
      <c r="B3" s="1">
        <v>2</v>
      </c>
      <c r="C3" s="1">
        <v>8</v>
      </c>
      <c r="D3" s="2">
        <f t="shared" ref="D3:D7" si="0">SQRT((B3-1)^2+(C3-9)^2)</f>
        <v>1.4142135623730951</v>
      </c>
      <c r="E3" s="2">
        <f t="shared" ref="E3:E7" si="1">SQRT((B3-9)^2+(C3-1)^2)</f>
        <v>9.8994949366116654</v>
      </c>
      <c r="F3" s="3" t="str">
        <f t="shared" ref="F3:F7" si="2">IF(D3&lt;E3,"A","B")</f>
        <v>A</v>
      </c>
      <c r="G3" s="2">
        <f t="shared" ref="G3:G7" si="3">SQRT((B3-1.5)^2+(C3-8.5)^2)</f>
        <v>0.70710678118654757</v>
      </c>
      <c r="H3" s="2">
        <f t="shared" ref="H3:H7" si="4">SQRT((B3-7.5)^2+(C3-3)^2)</f>
        <v>7.433034373659253</v>
      </c>
      <c r="I3" s="3" t="str">
        <f t="shared" ref="I3:I7" si="5">IF(G3&lt;H3,"A","B")</f>
        <v>A</v>
      </c>
    </row>
    <row r="4" spans="1:11" ht="15">
      <c r="A4" s="1" t="s">
        <v>2</v>
      </c>
      <c r="B4" s="1">
        <v>6</v>
      </c>
      <c r="C4" s="1">
        <v>4</v>
      </c>
      <c r="D4" s="2">
        <f t="shared" si="0"/>
        <v>7.0710678118654755</v>
      </c>
      <c r="E4" s="2">
        <f t="shared" si="1"/>
        <v>4.2426406871192848</v>
      </c>
      <c r="F4" s="3" t="str">
        <f t="shared" si="2"/>
        <v>B</v>
      </c>
      <c r="G4" s="2">
        <f t="shared" si="3"/>
        <v>6.3639610306789276</v>
      </c>
      <c r="H4" s="2">
        <f t="shared" si="4"/>
        <v>1.8027756377319946</v>
      </c>
      <c r="I4" s="3" t="str">
        <f t="shared" si="5"/>
        <v>B</v>
      </c>
    </row>
    <row r="5" spans="1:11" ht="15">
      <c r="A5" s="1" t="s">
        <v>3</v>
      </c>
      <c r="B5" s="1">
        <v>7</v>
      </c>
      <c r="C5" s="1">
        <v>5</v>
      </c>
      <c r="D5" s="2">
        <f t="shared" si="0"/>
        <v>7.2111025509279782</v>
      </c>
      <c r="E5" s="2">
        <f t="shared" si="1"/>
        <v>4.4721359549995796</v>
      </c>
      <c r="F5" s="3" t="str">
        <f t="shared" si="2"/>
        <v>B</v>
      </c>
      <c r="G5" s="2">
        <f t="shared" si="3"/>
        <v>6.5192024052026492</v>
      </c>
      <c r="H5" s="2">
        <f t="shared" si="4"/>
        <v>2.0615528128088303</v>
      </c>
      <c r="I5" s="3" t="str">
        <f t="shared" si="5"/>
        <v>B</v>
      </c>
    </row>
    <row r="6" spans="1:11" ht="15">
      <c r="A6" s="1" t="s">
        <v>4</v>
      </c>
      <c r="B6" s="1">
        <v>8</v>
      </c>
      <c r="C6" s="1">
        <v>2</v>
      </c>
      <c r="D6" s="2">
        <f t="shared" si="0"/>
        <v>9.8994949366116654</v>
      </c>
      <c r="E6" s="2">
        <f t="shared" si="1"/>
        <v>1.4142135623730951</v>
      </c>
      <c r="F6" s="3" t="str">
        <f t="shared" si="2"/>
        <v>B</v>
      </c>
      <c r="G6" s="2">
        <f t="shared" si="3"/>
        <v>9.1923881554251174</v>
      </c>
      <c r="H6" s="2">
        <f t="shared" si="4"/>
        <v>1.1180339887498949</v>
      </c>
      <c r="I6" s="3" t="str">
        <f t="shared" si="5"/>
        <v>B</v>
      </c>
    </row>
    <row r="7" spans="1:11" ht="15">
      <c r="A7" s="1" t="s">
        <v>5</v>
      </c>
      <c r="B7" s="1">
        <v>9</v>
      </c>
      <c r="C7" s="1">
        <v>1</v>
      </c>
      <c r="D7" s="2">
        <f t="shared" si="0"/>
        <v>11.313708498984761</v>
      </c>
      <c r="E7" s="2">
        <f t="shared" si="1"/>
        <v>0</v>
      </c>
      <c r="F7" s="3" t="str">
        <f t="shared" si="2"/>
        <v>B</v>
      </c>
      <c r="G7" s="2">
        <f t="shared" si="3"/>
        <v>10.606601717798213</v>
      </c>
      <c r="H7" s="2">
        <f t="shared" si="4"/>
        <v>2.5</v>
      </c>
      <c r="I7" s="3" t="str">
        <f t="shared" si="5"/>
        <v>B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2</vt:lpstr>
      <vt:lpstr>Question 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Sandegård</dc:creator>
  <cp:lastModifiedBy>Paul Sandegård</cp:lastModifiedBy>
  <dcterms:created xsi:type="dcterms:W3CDTF">2025-12-02T09:04:34Z</dcterms:created>
  <dcterms:modified xsi:type="dcterms:W3CDTF">2025-12-05T13:33:19Z</dcterms:modified>
</cp:coreProperties>
</file>